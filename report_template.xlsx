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osGon\Dropbox\Python Scripts\stock report\"/>
    </mc:Choice>
  </mc:AlternateContent>
  <xr:revisionPtr revIDLastSave="0" documentId="13_ncr:1_{67696FEA-CD50-46A0-97DA-049974CE1061}" xr6:coauthVersionLast="47" xr6:coauthVersionMax="47" xr10:uidLastSave="{00000000-0000-0000-0000-000000000000}"/>
  <bookViews>
    <workbookView xWindow="0" yWindow="975" windowWidth="57600" windowHeight="15345" xr2:uid="{00000000-000D-0000-FFFF-FFFF00000000}"/>
  </bookViews>
  <sheets>
    <sheet name="Sheet1" sheetId="1" r:id="rId1"/>
    <sheet name="Sheet2" sheetId="2" state="hidden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8" i="1" l="1"/>
  <c r="K146" i="1"/>
  <c r="K180" i="1"/>
  <c r="D295" i="1"/>
  <c r="D291" i="1"/>
  <c r="D290" i="1"/>
  <c r="D289" i="1"/>
  <c r="D286" i="1"/>
  <c r="D285" i="1"/>
  <c r="D284" i="1"/>
  <c r="D283" i="1"/>
  <c r="D282" i="1"/>
  <c r="D281" i="1"/>
  <c r="D280" i="1"/>
  <c r="D279" i="1"/>
  <c r="D278" i="1"/>
  <c r="D277" i="1"/>
  <c r="D275" i="1"/>
  <c r="D274" i="1"/>
  <c r="D271" i="1"/>
  <c r="D270" i="1"/>
  <c r="D269" i="1"/>
  <c r="D268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1" i="1"/>
  <c r="D250" i="1"/>
  <c r="D249" i="1"/>
  <c r="D248" i="1"/>
  <c r="K253" i="1"/>
  <c r="J256" i="1" s="1"/>
  <c r="C295" i="1"/>
  <c r="C291" i="1"/>
  <c r="C290" i="1"/>
  <c r="C289" i="1"/>
  <c r="C286" i="1"/>
  <c r="C285" i="1"/>
  <c r="C284" i="1"/>
  <c r="C283" i="1"/>
  <c r="C282" i="1"/>
  <c r="C281" i="1"/>
  <c r="C280" i="1"/>
  <c r="C279" i="1"/>
  <c r="C278" i="1"/>
  <c r="C277" i="1"/>
  <c r="C276" i="1"/>
  <c r="D276" i="1" s="1"/>
  <c r="C275" i="1"/>
  <c r="C274" i="1"/>
  <c r="C271" i="1"/>
  <c r="C270" i="1"/>
  <c r="C269" i="1"/>
  <c r="C268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1" i="1"/>
  <c r="C250" i="1"/>
  <c r="C249" i="1"/>
  <c r="C248" i="1"/>
  <c r="K162" i="1"/>
  <c r="P218" i="1"/>
  <c r="P211" i="1"/>
  <c r="O35" i="1"/>
  <c r="N35" i="1"/>
  <c r="M35" i="1"/>
  <c r="L35" i="1"/>
  <c r="K35" i="1"/>
  <c r="J35" i="1"/>
  <c r="P35" i="1"/>
  <c r="P33" i="1"/>
  <c r="P13" i="1"/>
  <c r="E127" i="1"/>
  <c r="F127" i="1"/>
  <c r="G127" i="1"/>
  <c r="H127" i="1"/>
  <c r="D127" i="1"/>
  <c r="J127" i="1" s="1"/>
  <c r="J222" i="1"/>
  <c r="K158" i="1"/>
  <c r="K154" i="1"/>
  <c r="K150" i="1"/>
  <c r="AB264" i="1" l="1"/>
  <c r="AB263" i="1"/>
  <c r="AD262" i="1"/>
  <c r="AB262" i="1"/>
  <c r="AC262" i="1"/>
  <c r="AB258" i="1"/>
  <c r="AB256" i="1"/>
  <c r="AD260" i="1"/>
  <c r="AB261" i="1"/>
  <c r="AC256" i="1"/>
  <c r="AB259" i="1"/>
  <c r="AD261" i="1"/>
  <c r="AC257" i="1"/>
  <c r="AC269" i="1"/>
  <c r="AD259" i="1"/>
  <c r="AC259" i="1"/>
  <c r="AD255" i="1"/>
  <c r="AG259" i="1"/>
  <c r="AD270" i="1"/>
  <c r="AD254" i="1"/>
  <c r="AB255" i="1"/>
  <c r="AH259" i="1"/>
  <c r="AC270" i="1"/>
  <c r="AD269" i="1"/>
  <c r="AB270" i="1"/>
  <c r="AB254" i="1"/>
  <c r="AD265" i="1"/>
  <c r="AC266" i="1"/>
  <c r="AD263" i="1"/>
  <c r="AB266" i="1"/>
  <c r="AD252" i="1"/>
  <c r="AC264" i="1"/>
  <c r="AC252" i="1"/>
  <c r="AB252" i="1"/>
  <c r="AC255" i="1"/>
  <c r="AG258" i="1"/>
  <c r="AC271" i="1"/>
  <c r="AD268" i="1"/>
  <c r="AC260" i="1"/>
  <c r="AH257" i="1"/>
  <c r="AH258" i="1"/>
  <c r="AC265" i="1"/>
  <c r="AC268" i="1"/>
  <c r="AB260" i="1"/>
  <c r="AB267" i="1"/>
  <c r="AC263" i="1"/>
  <c r="AB268" i="1"/>
  <c r="AD258" i="1"/>
  <c r="AC254" i="1"/>
  <c r="AB265" i="1"/>
  <c r="AC261" i="1"/>
  <c r="AD266" i="1"/>
  <c r="AC258" i="1"/>
  <c r="AC253" i="1"/>
  <c r="AG257" i="1"/>
  <c r="AD267" i="1"/>
  <c r="AC267" i="1"/>
  <c r="AD264" i="1"/>
  <c r="AD256" i="1"/>
  <c r="D131" i="2"/>
  <c r="D130" i="2"/>
  <c r="D129" i="2"/>
  <c r="D128" i="2"/>
  <c r="D125" i="2"/>
  <c r="D124" i="2"/>
  <c r="D123" i="2"/>
  <c r="D122" i="2"/>
  <c r="K114" i="1"/>
  <c r="P114" i="1" s="1"/>
  <c r="D116" i="2"/>
  <c r="D115" i="2"/>
  <c r="D114" i="2"/>
  <c r="D112" i="2"/>
  <c r="D111" i="2"/>
  <c r="D110" i="2"/>
  <c r="D106" i="2"/>
  <c r="D105" i="2"/>
  <c r="D103" i="2"/>
  <c r="D102" i="2"/>
  <c r="D97" i="2"/>
  <c r="D96" i="2"/>
  <c r="D93" i="2"/>
  <c r="D92" i="2"/>
  <c r="D88" i="2"/>
  <c r="D87" i="2"/>
  <c r="D86" i="2"/>
  <c r="D85" i="2"/>
  <c r="D82" i="2"/>
  <c r="D81" i="2"/>
  <c r="D80" i="2"/>
  <c r="D79" i="2"/>
  <c r="D74" i="2"/>
  <c r="D73" i="2"/>
  <c r="D72" i="2"/>
  <c r="D71" i="2"/>
  <c r="D68" i="2"/>
  <c r="D67" i="2"/>
  <c r="D66" i="2"/>
  <c r="D65" i="2"/>
  <c r="D60" i="2"/>
  <c r="D59" i="2"/>
  <c r="D58" i="2"/>
  <c r="D57" i="2"/>
  <c r="D54" i="2"/>
  <c r="D53" i="2"/>
  <c r="D52" i="2"/>
  <c r="D51" i="2"/>
  <c r="D45" i="2"/>
  <c r="D42" i="2"/>
  <c r="D39" i="2"/>
  <c r="D38" i="2"/>
  <c r="D37" i="2"/>
  <c r="D36" i="2"/>
  <c r="D28" i="2"/>
  <c r="D29" i="2"/>
  <c r="D30" i="2"/>
  <c r="D31" i="2"/>
  <c r="K177" i="1"/>
  <c r="P177" i="1" s="1"/>
  <c r="K167" i="1"/>
  <c r="P167" i="1" s="1"/>
  <c r="K172" i="1"/>
  <c r="P172" i="1" s="1"/>
  <c r="J175" i="1"/>
  <c r="P176" i="1" s="1"/>
  <c r="J170" i="1"/>
  <c r="P171" i="1" s="1"/>
  <c r="J165" i="1"/>
  <c r="K166" i="1" s="1"/>
  <c r="P222" i="1"/>
  <c r="K218" i="1"/>
  <c r="E211" i="1"/>
  <c r="F211" i="1"/>
  <c r="G211" i="1"/>
  <c r="H211" i="1"/>
  <c r="D211" i="1"/>
  <c r="P188" i="1"/>
  <c r="K188" i="1"/>
  <c r="P184" i="1"/>
  <c r="K184" i="1"/>
  <c r="J188" i="1"/>
  <c r="J184" i="1"/>
  <c r="D180" i="1"/>
  <c r="E180" i="1"/>
  <c r="F180" i="1"/>
  <c r="G180" i="1"/>
  <c r="H180" i="1"/>
  <c r="P175" i="1"/>
  <c r="K175" i="1"/>
  <c r="P170" i="1"/>
  <c r="K170" i="1"/>
  <c r="P165" i="1"/>
  <c r="K165" i="1"/>
  <c r="P157" i="1"/>
  <c r="K157" i="1"/>
  <c r="P158" i="1"/>
  <c r="P154" i="1"/>
  <c r="P150" i="1"/>
  <c r="P149" i="1"/>
  <c r="K149" i="1"/>
  <c r="P146" i="1"/>
  <c r="P145" i="1"/>
  <c r="K145" i="1"/>
  <c r="K176" i="1" l="1"/>
  <c r="P166" i="1"/>
  <c r="K171" i="1"/>
  <c r="P180" i="1"/>
  <c r="K211" i="1"/>
  <c r="K222" i="1"/>
  <c r="J180" i="1"/>
  <c r="C206" i="1" l="1"/>
  <c r="K142" i="1"/>
  <c r="P142" i="1" s="1"/>
  <c r="K141" i="1"/>
  <c r="P141" i="1" s="1"/>
  <c r="J139" i="1"/>
  <c r="P139" i="1"/>
  <c r="K139" i="1"/>
  <c r="K136" i="1"/>
  <c r="P136" i="1" s="1"/>
  <c r="P140" i="1" l="1"/>
  <c r="C232" i="1"/>
  <c r="C233" i="1" s="1"/>
  <c r="K140" i="1"/>
  <c r="K233" i="1" l="1"/>
  <c r="P233" i="1" s="1"/>
  <c r="E108" i="1"/>
  <c r="F108" i="1"/>
  <c r="G108" i="1"/>
  <c r="H108" i="1"/>
  <c r="D108" i="1"/>
  <c r="K107" i="1" s="1"/>
  <c r="P107" i="1" s="1"/>
  <c r="E114" i="1" l="1"/>
  <c r="F114" i="1"/>
  <c r="G114" i="1"/>
  <c r="H114" i="1"/>
  <c r="D114" i="1"/>
  <c r="K113" i="1" s="1"/>
  <c r="P113" i="1" s="1"/>
  <c r="D103" i="1"/>
  <c r="E85" i="1"/>
  <c r="F85" i="1"/>
  <c r="G85" i="1"/>
  <c r="H85" i="1"/>
  <c r="D85" i="1"/>
  <c r="K84" i="1" s="1"/>
  <c r="P84" i="1" s="1"/>
  <c r="P102" i="1" l="1"/>
  <c r="K102" i="1"/>
  <c r="J85" i="1"/>
  <c r="K85" i="1" s="1"/>
  <c r="P85" i="1" s="1"/>
  <c r="C162" i="1" l="1"/>
  <c r="P162" i="1" s="1"/>
  <c r="C161" i="1"/>
  <c r="K203" i="1"/>
  <c r="L203" i="1"/>
  <c r="M203" i="1"/>
  <c r="N203" i="1"/>
  <c r="D203" i="1"/>
  <c r="J203" i="1"/>
  <c r="E203" i="1"/>
  <c r="F203" i="1"/>
  <c r="G203" i="1"/>
  <c r="C203" i="1"/>
  <c r="C140" i="1"/>
  <c r="K161" i="1" l="1"/>
  <c r="P161" i="1" s="1"/>
  <c r="E103" i="1"/>
  <c r="F103" i="1"/>
  <c r="G103" i="1"/>
  <c r="E95" i="1"/>
  <c r="F95" i="1"/>
  <c r="G95" i="1"/>
  <c r="D95" i="1"/>
  <c r="K94" i="1" s="1"/>
  <c r="P94" i="1" s="1"/>
  <c r="E90" i="1"/>
  <c r="E91" i="1" s="1"/>
  <c r="F90" i="1"/>
  <c r="F91" i="1" s="1"/>
  <c r="G90" i="1"/>
  <c r="G91" i="1" s="1"/>
  <c r="D90" i="1"/>
  <c r="D91" i="1" s="1"/>
  <c r="K90" i="1" s="1"/>
  <c r="P90" i="1" s="1"/>
  <c r="E73" i="1"/>
  <c r="F73" i="1"/>
  <c r="G73" i="1"/>
  <c r="H73" i="1"/>
  <c r="D73" i="1"/>
  <c r="P126" i="1" l="1"/>
  <c r="K126" i="1"/>
  <c r="C227" i="1"/>
  <c r="C228" i="1" s="1"/>
  <c r="J113" i="1"/>
  <c r="D174" i="1"/>
  <c r="D226" i="1"/>
  <c r="J108" i="1"/>
  <c r="K108" i="1" s="1"/>
  <c r="P108" i="1" s="1"/>
  <c r="J103" i="1"/>
  <c r="J95" i="1"/>
  <c r="K95" i="1" s="1"/>
  <c r="P95" i="1" s="1"/>
  <c r="J73" i="1"/>
  <c r="G219" i="1"/>
  <c r="F219" i="1"/>
  <c r="E219" i="1"/>
  <c r="D219" i="1"/>
  <c r="J219" i="1" s="1"/>
  <c r="C219" i="1"/>
  <c r="G215" i="1"/>
  <c r="F215" i="1"/>
  <c r="E215" i="1"/>
  <c r="D215" i="1"/>
  <c r="J215" i="1" s="1"/>
  <c r="C215" i="1"/>
  <c r="G210" i="1"/>
  <c r="F210" i="1"/>
  <c r="E210" i="1"/>
  <c r="D210" i="1"/>
  <c r="J210" i="1" s="1"/>
  <c r="C210" i="1"/>
  <c r="G189" i="1"/>
  <c r="F189" i="1"/>
  <c r="E189" i="1"/>
  <c r="D189" i="1"/>
  <c r="J189" i="1" s="1"/>
  <c r="C189" i="1"/>
  <c r="G185" i="1"/>
  <c r="F185" i="1"/>
  <c r="E185" i="1"/>
  <c r="D185" i="1"/>
  <c r="J185" i="1" s="1"/>
  <c r="C185" i="1"/>
  <c r="G181" i="1"/>
  <c r="F181" i="1"/>
  <c r="E181" i="1"/>
  <c r="D181" i="1"/>
  <c r="J181" i="1" s="1"/>
  <c r="G176" i="1"/>
  <c r="F176" i="1"/>
  <c r="E176" i="1"/>
  <c r="D176" i="1"/>
  <c r="C176" i="1"/>
  <c r="G171" i="1"/>
  <c r="F171" i="1"/>
  <c r="E171" i="1"/>
  <c r="D171" i="1"/>
  <c r="C171" i="1"/>
  <c r="G166" i="1"/>
  <c r="F166" i="1"/>
  <c r="E166" i="1"/>
  <c r="D166" i="1"/>
  <c r="C166" i="1"/>
  <c r="G158" i="1"/>
  <c r="F158" i="1"/>
  <c r="E158" i="1"/>
  <c r="D158" i="1"/>
  <c r="J158" i="1" s="1"/>
  <c r="C158" i="1"/>
  <c r="G154" i="1"/>
  <c r="F154" i="1"/>
  <c r="E154" i="1"/>
  <c r="D154" i="1"/>
  <c r="J154" i="1" s="1"/>
  <c r="C154" i="1"/>
  <c r="G150" i="1"/>
  <c r="F150" i="1"/>
  <c r="E150" i="1"/>
  <c r="D150" i="1"/>
  <c r="J150" i="1" s="1"/>
  <c r="C150" i="1"/>
  <c r="G146" i="1"/>
  <c r="F146" i="1"/>
  <c r="E146" i="1"/>
  <c r="D146" i="1"/>
  <c r="J146" i="1" s="1"/>
  <c r="C146" i="1"/>
  <c r="G140" i="1"/>
  <c r="F140" i="1"/>
  <c r="E140" i="1"/>
  <c r="D140" i="1"/>
  <c r="J140" i="1" s="1"/>
  <c r="G134" i="1"/>
  <c r="F134" i="1"/>
  <c r="E134" i="1"/>
  <c r="D134" i="1"/>
  <c r="K133" i="1" s="1"/>
  <c r="P133" i="1" s="1"/>
  <c r="C134" i="1"/>
  <c r="G122" i="1"/>
  <c r="F122" i="1"/>
  <c r="E122" i="1"/>
  <c r="D122" i="1"/>
  <c r="G118" i="1"/>
  <c r="F118" i="1"/>
  <c r="E118" i="1"/>
  <c r="D118" i="1"/>
  <c r="K117" i="1" s="1"/>
  <c r="P117" i="1" s="1"/>
  <c r="G99" i="1"/>
  <c r="F99" i="1"/>
  <c r="E99" i="1"/>
  <c r="D99" i="1"/>
  <c r="K98" i="1" s="1"/>
  <c r="P98" i="1" s="1"/>
  <c r="J91" i="1"/>
  <c r="K91" i="1" s="1"/>
  <c r="P91" i="1" s="1"/>
  <c r="G86" i="1"/>
  <c r="F86" i="1"/>
  <c r="E86" i="1"/>
  <c r="D86" i="1"/>
  <c r="J86" i="1" s="1"/>
  <c r="G81" i="1"/>
  <c r="F81" i="1"/>
  <c r="E81" i="1"/>
  <c r="D81" i="1"/>
  <c r="K80" i="1" s="1"/>
  <c r="P80" i="1" s="1"/>
  <c r="G77" i="1"/>
  <c r="F77" i="1"/>
  <c r="E77" i="1"/>
  <c r="D77" i="1"/>
  <c r="J77" i="1" s="1"/>
  <c r="G69" i="1"/>
  <c r="F69" i="1"/>
  <c r="E69" i="1"/>
  <c r="D69" i="1"/>
  <c r="K68" i="1" s="1"/>
  <c r="P68" i="1" s="1"/>
  <c r="G65" i="1"/>
  <c r="F65" i="1"/>
  <c r="E65" i="1"/>
  <c r="D65" i="1"/>
  <c r="K64" i="1" s="1"/>
  <c r="P64" i="1" s="1"/>
  <c r="G61" i="1"/>
  <c r="F61" i="1"/>
  <c r="E61" i="1"/>
  <c r="D61" i="1"/>
  <c r="K60" i="1" s="1"/>
  <c r="P60" i="1" s="1"/>
  <c r="G57" i="1"/>
  <c r="F57" i="1"/>
  <c r="E57" i="1"/>
  <c r="D57" i="1"/>
  <c r="J57" i="1" s="1"/>
  <c r="G53" i="1"/>
  <c r="F53" i="1"/>
  <c r="E53" i="1"/>
  <c r="D53" i="1"/>
  <c r="J53" i="1" s="1"/>
  <c r="G49" i="1"/>
  <c r="F49" i="1"/>
  <c r="E49" i="1"/>
  <c r="D49" i="1"/>
  <c r="J49" i="1" s="1"/>
  <c r="G45" i="1"/>
  <c r="F45" i="1"/>
  <c r="E45" i="1"/>
  <c r="D45" i="1"/>
  <c r="K44" i="1" s="1"/>
  <c r="P44" i="1" s="1"/>
  <c r="D41" i="1"/>
  <c r="K40" i="1" s="1"/>
  <c r="P40" i="1" s="1"/>
  <c r="E41" i="1"/>
  <c r="F41" i="1"/>
  <c r="G41" i="1"/>
  <c r="J122" i="1" l="1"/>
  <c r="K122" i="1" s="1"/>
  <c r="P122" i="1" s="1"/>
  <c r="K121" i="1"/>
  <c r="P121" i="1" s="1"/>
  <c r="P228" i="1"/>
  <c r="C294" i="1" s="1"/>
  <c r="D294" i="1" s="1"/>
  <c r="K127" i="1"/>
  <c r="P127" i="1"/>
  <c r="J134" i="1"/>
  <c r="K134" i="1" s="1"/>
  <c r="P134" i="1" s="1"/>
  <c r="P103" i="1"/>
  <c r="K103" i="1"/>
  <c r="J45" i="1"/>
  <c r="K45" i="1" s="1"/>
  <c r="P45" i="1" s="1"/>
  <c r="J61" i="1"/>
  <c r="K61" i="1" s="1"/>
  <c r="P61" i="1" s="1"/>
  <c r="J41" i="1"/>
  <c r="K41" i="1" s="1"/>
  <c r="P41" i="1" s="1"/>
  <c r="J69" i="1"/>
  <c r="K69" i="1" s="1"/>
  <c r="P69" i="1" s="1"/>
  <c r="J99" i="1"/>
  <c r="K99" i="1" s="1"/>
  <c r="P99" i="1" s="1"/>
  <c r="J65" i="1"/>
  <c r="K65" i="1" s="1"/>
  <c r="P65" i="1" s="1"/>
  <c r="J81" i="1"/>
  <c r="K81" i="1" s="1"/>
  <c r="P81" i="1" s="1"/>
  <c r="J118" i="1"/>
  <c r="K118" i="1" s="1"/>
  <c r="P118" i="1" s="1"/>
  <c r="M15" i="1"/>
  <c r="P15" i="1" s="1"/>
  <c r="P1" i="1"/>
  <c r="D217" i="1"/>
  <c r="D213" i="1"/>
  <c r="D208" i="1"/>
  <c r="D187" i="1"/>
  <c r="D183" i="1"/>
  <c r="D179" i="1"/>
  <c r="D169" i="1"/>
  <c r="D164" i="1"/>
  <c r="D156" i="1"/>
  <c r="D152" i="1"/>
  <c r="D148" i="1"/>
  <c r="D144" i="1"/>
  <c r="D138" i="1"/>
  <c r="D132" i="1"/>
  <c r="D124" i="1"/>
  <c r="D120" i="1"/>
  <c r="D116" i="1"/>
  <c r="D112" i="1"/>
  <c r="D105" i="1"/>
  <c r="D101" i="1"/>
  <c r="D97" i="1"/>
  <c r="D93" i="1"/>
  <c r="D88" i="1"/>
  <c r="D83" i="1"/>
  <c r="D79" i="1"/>
  <c r="D75" i="1"/>
  <c r="D71" i="1"/>
  <c r="D67" i="1"/>
  <c r="D63" i="1"/>
  <c r="D59" i="1"/>
  <c r="D55" i="1"/>
  <c r="D51" i="1"/>
  <c r="D47" i="1"/>
  <c r="D43" i="1"/>
  <c r="D221" i="1" s="1"/>
  <c r="E39" i="1"/>
  <c r="E71" i="1" s="1"/>
  <c r="AB253" i="1" l="1"/>
  <c r="AB251" i="1"/>
  <c r="AB269" i="1"/>
  <c r="AD257" i="1"/>
  <c r="AB257" i="1"/>
  <c r="AC251" i="1"/>
  <c r="AD271" i="1"/>
  <c r="AB271" i="1"/>
  <c r="AD251" i="1"/>
  <c r="AD253" i="1"/>
  <c r="K252" i="1"/>
  <c r="E226" i="1"/>
  <c r="E174" i="1"/>
  <c r="E152" i="1"/>
  <c r="F39" i="1"/>
  <c r="E55" i="1"/>
  <c r="E105" i="1"/>
  <c r="E164" i="1"/>
  <c r="E132" i="1"/>
  <c r="E51" i="1"/>
  <c r="E97" i="1"/>
  <c r="E156" i="1"/>
  <c r="E83" i="1"/>
  <c r="E187" i="1"/>
  <c r="E120" i="1"/>
  <c r="E179" i="1"/>
  <c r="E88" i="1"/>
  <c r="E217" i="1"/>
  <c r="E124" i="1"/>
  <c r="E47" i="1"/>
  <c r="E93" i="1"/>
  <c r="E63" i="1"/>
  <c r="E67" i="1"/>
  <c r="E59" i="1"/>
  <c r="E112" i="1"/>
  <c r="E169" i="1"/>
  <c r="E116" i="1"/>
  <c r="E144" i="1"/>
  <c r="E208" i="1"/>
  <c r="E183" i="1"/>
  <c r="E213" i="1"/>
  <c r="E75" i="1"/>
  <c r="E43" i="1"/>
  <c r="E221" i="1" s="1"/>
  <c r="E148" i="1"/>
  <c r="E79" i="1"/>
  <c r="E138" i="1"/>
  <c r="E101" i="1"/>
  <c r="F226" i="1" l="1"/>
  <c r="F174" i="1"/>
  <c r="F183" i="1"/>
  <c r="F124" i="1"/>
  <c r="F71" i="1"/>
  <c r="F101" i="1"/>
  <c r="F43" i="1"/>
  <c r="F221" i="1" s="1"/>
  <c r="F187" i="1"/>
  <c r="F132" i="1"/>
  <c r="F105" i="1"/>
  <c r="F213" i="1"/>
  <c r="F83" i="1"/>
  <c r="F93" i="1"/>
  <c r="F55" i="1"/>
  <c r="F208" i="1"/>
  <c r="F138" i="1"/>
  <c r="F79" i="1"/>
  <c r="F112" i="1"/>
  <c r="F67" i="1"/>
  <c r="F156" i="1"/>
  <c r="F97" i="1"/>
  <c r="F47" i="1"/>
  <c r="F169" i="1"/>
  <c r="F59" i="1"/>
  <c r="F88" i="1"/>
  <c r="F75" i="1"/>
  <c r="F152" i="1"/>
  <c r="F217" i="1"/>
  <c r="F148" i="1"/>
  <c r="F164" i="1"/>
  <c r="F116" i="1"/>
  <c r="F179" i="1"/>
  <c r="F120" i="1"/>
  <c r="F51" i="1"/>
  <c r="F144" i="1"/>
  <c r="G39" i="1"/>
  <c r="F63" i="1"/>
  <c r="G226" i="1" l="1"/>
  <c r="G174" i="1"/>
  <c r="H39" i="1"/>
  <c r="G152" i="1"/>
  <c r="G93" i="1"/>
  <c r="G47" i="1"/>
  <c r="G183" i="1"/>
  <c r="G124" i="1"/>
  <c r="G59" i="1"/>
  <c r="G179" i="1"/>
  <c r="G120" i="1"/>
  <c r="G51" i="1"/>
  <c r="G213" i="1"/>
  <c r="G83" i="1"/>
  <c r="G71" i="1"/>
  <c r="G79" i="1"/>
  <c r="G67" i="1"/>
  <c r="G101" i="1"/>
  <c r="G156" i="1"/>
  <c r="G97" i="1"/>
  <c r="G132" i="1"/>
  <c r="G105" i="1"/>
  <c r="G208" i="1"/>
  <c r="G138" i="1"/>
  <c r="G43" i="1"/>
  <c r="G221" i="1" s="1"/>
  <c r="G144" i="1"/>
  <c r="G169" i="1"/>
  <c r="G112" i="1"/>
  <c r="G63" i="1"/>
  <c r="G217" i="1"/>
  <c r="G148" i="1"/>
  <c r="G88" i="1"/>
  <c r="G187" i="1"/>
  <c r="G116" i="1"/>
  <c r="G75" i="1"/>
  <c r="G164" i="1"/>
  <c r="G55" i="1"/>
  <c r="H226" i="1" l="1"/>
  <c r="H174" i="1"/>
  <c r="H116" i="1"/>
  <c r="H63" i="1"/>
  <c r="H152" i="1"/>
  <c r="H93" i="1"/>
  <c r="H47" i="1"/>
  <c r="H101" i="1"/>
  <c r="H59" i="1"/>
  <c r="H79" i="1"/>
  <c r="H217" i="1"/>
  <c r="H120" i="1"/>
  <c r="H183" i="1"/>
  <c r="H124" i="1"/>
  <c r="H71" i="1"/>
  <c r="H97" i="1"/>
  <c r="H51" i="1"/>
  <c r="H187" i="1"/>
  <c r="H83" i="1"/>
  <c r="H148" i="1"/>
  <c r="H132" i="1"/>
  <c r="H208" i="1"/>
  <c r="H138" i="1"/>
  <c r="H43" i="1"/>
  <c r="H221" i="1" s="1"/>
  <c r="H67" i="1"/>
  <c r="H75" i="1"/>
  <c r="H55" i="1"/>
  <c r="H169" i="1"/>
  <c r="H112" i="1"/>
  <c r="H88" i="1"/>
  <c r="H179" i="1"/>
  <c r="H156" i="1"/>
  <c r="H164" i="1"/>
  <c r="H105" i="1"/>
  <c r="H213" i="1"/>
  <c r="H144" i="1"/>
</calcChain>
</file>

<file path=xl/sharedStrings.xml><?xml version="1.0" encoding="utf-8"?>
<sst xmlns="http://schemas.openxmlformats.org/spreadsheetml/2006/main" count="603" uniqueCount="324">
  <si>
    <t>Company:</t>
  </si>
  <si>
    <t>Ticker:</t>
  </si>
  <si>
    <t>Employees:</t>
  </si>
  <si>
    <t>Market Cap.:</t>
  </si>
  <si>
    <t>(currency)</t>
  </si>
  <si>
    <t>52week range:</t>
  </si>
  <si>
    <t>Industry:</t>
  </si>
  <si>
    <t>Sector:</t>
  </si>
  <si>
    <t>Stock Price:</t>
  </si>
  <si>
    <t>Strong Buy</t>
  </si>
  <si>
    <t>Buy</t>
  </si>
  <si>
    <t>Hold</t>
  </si>
  <si>
    <t>Sell</t>
  </si>
  <si>
    <t>Strong Sell</t>
  </si>
  <si>
    <t>Period</t>
  </si>
  <si>
    <t>Now</t>
  </si>
  <si>
    <t>1 Month ago</t>
  </si>
  <si>
    <t>2 Months ago</t>
  </si>
  <si>
    <t>3 Months ago</t>
  </si>
  <si>
    <t>Overall Recommendation:</t>
  </si>
  <si>
    <t>Beta:</t>
  </si>
  <si>
    <t>-----&gt;</t>
  </si>
  <si>
    <t>Earnings Dates</t>
  </si>
  <si>
    <t>date1</t>
  </si>
  <si>
    <t>date2</t>
  </si>
  <si>
    <t>date3</t>
  </si>
  <si>
    <t>Current Profit Margin:</t>
  </si>
  <si>
    <t>Risks</t>
  </si>
  <si>
    <t>Audit:</t>
  </si>
  <si>
    <t>Board:</t>
  </si>
  <si>
    <t>Compensation:</t>
  </si>
  <si>
    <t>Shareholder rights:</t>
  </si>
  <si>
    <t>Overall:</t>
  </si>
  <si>
    <t>Country:</t>
  </si>
  <si>
    <t>Dividend yield:</t>
  </si>
  <si>
    <t>Stock performance</t>
  </si>
  <si>
    <t>Category:</t>
  </si>
  <si>
    <t>(Growth/Dividends)</t>
  </si>
  <si>
    <t>Average</t>
  </si>
  <si>
    <t>% change</t>
  </si>
  <si>
    <t>Comment</t>
  </si>
  <si>
    <t>Current Ratio</t>
  </si>
  <si>
    <t>ROA</t>
  </si>
  <si>
    <t>- &gt; Share-Adjusted Debt to Shareholders</t>
  </si>
  <si>
    <t>Financial Balance</t>
  </si>
  <si>
    <t>% revenue</t>
  </si>
  <si>
    <t>% gross profit</t>
  </si>
  <si>
    <t>% operating income</t>
  </si>
  <si>
    <t>Cashflow</t>
  </si>
  <si>
    <t>%growth</t>
  </si>
  <si>
    <t>Ratios</t>
  </si>
  <si>
    <t>Current</t>
  </si>
  <si>
    <t>EPS</t>
  </si>
  <si>
    <t>Forward EPS</t>
  </si>
  <si>
    <t>PE Ratio</t>
  </si>
  <si>
    <t>Forward PE</t>
  </si>
  <si>
    <t>PEG Ratio</t>
  </si>
  <si>
    <t>CAGR 5Y</t>
  </si>
  <si>
    <t>CAGR 10Y</t>
  </si>
  <si>
    <t>Operating Cash Flow Ratio</t>
  </si>
  <si>
    <t>Competitors</t>
  </si>
  <si>
    <t>(ticker)</t>
  </si>
  <si>
    <t>PE</t>
  </si>
  <si>
    <t>PFCF</t>
  </si>
  <si>
    <t>PB</t>
  </si>
  <si>
    <t>PS</t>
  </si>
  <si>
    <t>PEG</t>
  </si>
  <si>
    <t>5Y CAGR</t>
  </si>
  <si>
    <t>10Y CAGR</t>
  </si>
  <si>
    <t>ROE</t>
  </si>
  <si>
    <t>ROIC</t>
  </si>
  <si>
    <t>Dividends</t>
  </si>
  <si>
    <t>Pays Dividends?</t>
  </si>
  <si>
    <t>sum w/ net income</t>
  </si>
  <si>
    <t>Dividend Yield</t>
  </si>
  <si>
    <t>Payout Ratio</t>
  </si>
  <si>
    <t>w/safety margin</t>
  </si>
  <si>
    <t>Price / Profit Ratio</t>
  </si>
  <si>
    <t>PE w/safety margin</t>
  </si>
  <si>
    <t>Valuation</t>
  </si>
  <si>
    <t>DCF</t>
  </si>
  <si>
    <t>EPV</t>
  </si>
  <si>
    <t>RIM</t>
  </si>
  <si>
    <t>Reverse DCF</t>
  </si>
  <si>
    <t>Company Report</t>
  </si>
  <si>
    <t>Report's Date:</t>
  </si>
  <si>
    <t>Cash &amp; Equivalents</t>
  </si>
  <si>
    <t>Inventory</t>
  </si>
  <si>
    <t>Total Current Assets</t>
  </si>
  <si>
    <t>Total Current Liabilities</t>
  </si>
  <si>
    <t>Property, Plant &amp; Equipment</t>
  </si>
  <si>
    <t>Revenue</t>
  </si>
  <si>
    <t>Net Income</t>
  </si>
  <si>
    <t>Total Assets</t>
  </si>
  <si>
    <t>Long-Term Debt</t>
  </si>
  <si>
    <t>Total Liabilities</t>
  </si>
  <si>
    <t>Shareholders' Equity</t>
  </si>
  <si>
    <t>Treasury Stock</t>
  </si>
  <si>
    <t>Retained Earnings</t>
  </si>
  <si>
    <t>Yearly Net Earnings</t>
  </si>
  <si>
    <t>Gross Profit</t>
  </si>
  <si>
    <t>Profit Margin</t>
  </si>
  <si>
    <t>Selling, General &amp; Admin</t>
  </si>
  <si>
    <t>Operating Income</t>
  </si>
  <si>
    <t>Interest Expense</t>
  </si>
  <si>
    <t>Capital Expenditures</t>
  </si>
  <si>
    <t>Operating Cash Flow</t>
  </si>
  <si>
    <t>Free Cash Flow</t>
  </si>
  <si>
    <t>Issuance of Common Stock</t>
  </si>
  <si>
    <t>Repurchase of Common Stock</t>
  </si>
  <si>
    <t>Net Issuance of stock</t>
  </si>
  <si>
    <t>EPS (Basic)</t>
  </si>
  <si>
    <t>P/FCF Ratio</t>
  </si>
  <si>
    <t>PB Ratio</t>
  </si>
  <si>
    <t>PS Ratio</t>
  </si>
  <si>
    <t>Return on Capital (ROIC)</t>
  </si>
  <si>
    <t>Debt / Equity Ratio</t>
  </si>
  <si>
    <t>Dividends Paid</t>
  </si>
  <si>
    <t>Return on Equity (ROE)</t>
  </si>
  <si>
    <t>Return on Assets (ROA)</t>
  </si>
  <si>
    <t>Book Value Per Share</t>
  </si>
  <si>
    <t>Dividend Growth</t>
  </si>
  <si>
    <t>/ income</t>
  </si>
  <si>
    <t>average</t>
  </si>
  <si>
    <t>Rating</t>
  </si>
  <si>
    <t>Recommendation</t>
  </si>
  <si>
    <t>strong_buy</t>
  </si>
  <si>
    <t>buy</t>
  </si>
  <si>
    <t>hold</t>
  </si>
  <si>
    <t>sell</t>
  </si>
  <si>
    <t>strong_sell</t>
  </si>
  <si>
    <t>min</t>
  </si>
  <si>
    <t>max</t>
  </si>
  <si>
    <t>Volatility</t>
  </si>
  <si>
    <t>Low volatility</t>
  </si>
  <si>
    <t>Normal volatility</t>
  </si>
  <si>
    <t>High volatility</t>
  </si>
  <si>
    <t>Risk</t>
  </si>
  <si>
    <t>Recent Performance</t>
  </si>
  <si>
    <t>Last year's growth was very positive.</t>
  </si>
  <si>
    <t>Last year's growth was moderately positive.</t>
  </si>
  <si>
    <t>Overall Performance</t>
  </si>
  <si>
    <t>Last year's growth was outstanding.</t>
  </si>
  <si>
    <t>Last year's growth was low.</t>
  </si>
  <si>
    <t>Last year's growth was mediocre or negative.</t>
  </si>
  <si>
    <t>Overall growth was very positive.</t>
  </si>
  <si>
    <t>Overall growth was outstanding.</t>
  </si>
  <si>
    <t>Overall growth was moderately positive.</t>
  </si>
  <si>
    <t>Overall growth was low.</t>
  </si>
  <si>
    <t>Overall growth was mediocre or negative.</t>
  </si>
  <si>
    <t>Adjusted debt in relation to patrimony.</t>
  </si>
  <si>
    <t>Disadjusted debt in relation to patrimony.</t>
  </si>
  <si>
    <t>On average, adjusted debt in relation to patrimony.</t>
  </si>
  <si>
    <t>On average, Disadjusted debt in relation to patrimony.</t>
  </si>
  <si>
    <t>Innexistent earning's growth.</t>
  </si>
  <si>
    <t>Low earning's growth.</t>
  </si>
  <si>
    <t>Normal earning's growth.</t>
  </si>
  <si>
    <t>Good earning's growth.</t>
  </si>
  <si>
    <t>Optimal earning's growth.</t>
  </si>
  <si>
    <t>Innexistent earning's growth in the last years.</t>
  </si>
  <si>
    <t>Low earning's growth in the last years.</t>
  </si>
  <si>
    <t>Normal earning's growth in the last years.</t>
  </si>
  <si>
    <t>Good earning's growth in the last years.</t>
  </si>
  <si>
    <t>Optimal earning's growth in the last years.</t>
  </si>
  <si>
    <t>Mediocre profit.</t>
  </si>
  <si>
    <t>Very low profit.</t>
  </si>
  <si>
    <t>Low profit.</t>
  </si>
  <si>
    <t>Normal profit.</t>
  </si>
  <si>
    <t>Good profit.</t>
  </si>
  <si>
    <t>Mediocre profit in the last years.</t>
  </si>
  <si>
    <t>Very low profit in the last years.</t>
  </si>
  <si>
    <t>Low profit in the last years.</t>
  </si>
  <si>
    <t>Normal profit in the last years.</t>
  </si>
  <si>
    <t>Good profit in the last years.</t>
  </si>
  <si>
    <t>Profit margin's growth not relevant.</t>
  </si>
  <si>
    <t>Low growth of the profit margin.</t>
  </si>
  <si>
    <t>Normal growth of the profit margin.</t>
  </si>
  <si>
    <t>Good growth of the profit margin.</t>
  </si>
  <si>
    <t>Optimal growth of the profit margin.</t>
  </si>
  <si>
    <t>Profit margin's growth not relevant in the last years.</t>
  </si>
  <si>
    <t>Low growth of the profit margin in the last years.</t>
  </si>
  <si>
    <t>Normal growth of the profit margin in the last years.</t>
  </si>
  <si>
    <t>Good growth of the profit margin in the last years.</t>
  </si>
  <si>
    <t>Optimal growth of the profit margin in the last years.</t>
  </si>
  <si>
    <t>SGA costs well controlled.</t>
  </si>
  <si>
    <t>SGA costs are controlled but can be lower.</t>
  </si>
  <si>
    <t>SGA costs are out of control.</t>
  </si>
  <si>
    <t>SGA costs well controlled in the last years.</t>
  </si>
  <si>
    <t>In the last years SGA costs have been controlled but can be lower.</t>
  </si>
  <si>
    <t>In the last years SGA costs have been out of control.</t>
  </si>
  <si>
    <t>Optimal interest income.</t>
  </si>
  <si>
    <t>Bad interest income.</t>
  </si>
  <si>
    <t>Optimal interest income over the years.</t>
  </si>
  <si>
    <t>Bad interest income over the years.</t>
  </si>
  <si>
    <t>/income</t>
  </si>
  <si>
    <t>Expenditures under control.</t>
  </si>
  <si>
    <t>Expenditures always under control.</t>
  </si>
  <si>
    <t>Expenditures usually under control.</t>
  </si>
  <si>
    <t>Expenditures out of control.</t>
  </si>
  <si>
    <t>Expenditures are totally under control.</t>
  </si>
  <si>
    <t>Expenditures usually out of control.</t>
  </si>
  <si>
    <t>Mediocre earnings or loss per share in the last year.</t>
  </si>
  <si>
    <t>Low earnings per share in the last year.</t>
  </si>
  <si>
    <t>Moderate earnings per share in the last year.</t>
  </si>
  <si>
    <t>Good earnings per share in the last year.</t>
  </si>
  <si>
    <t>Optimal earnings per share in the last year.</t>
  </si>
  <si>
    <t>Mediocre earnings or loss per share in the last 5 years.</t>
  </si>
  <si>
    <t>Low earnings per share in the last 5 years.</t>
  </si>
  <si>
    <t>Moderate earnings per share in the last 5 years.</t>
  </si>
  <si>
    <t>Good earnings per share in the last 5 years.</t>
  </si>
  <si>
    <t>Optimal earnings per share in the last 5 years.</t>
  </si>
  <si>
    <t>Verify data - shouldn't be negative</t>
  </si>
  <si>
    <t>Currently, Optimal price paid for stock.</t>
  </si>
  <si>
    <t>Currently, Low price paid for stock.</t>
  </si>
  <si>
    <t>Currently, Moderate price paid for stock.</t>
  </si>
  <si>
    <t>Currently, Price paid for stock might be overvalued.</t>
  </si>
  <si>
    <t>Currently, Overvalued price paid for stock.</t>
  </si>
  <si>
    <t>Currently, Extreme value paid for stock.</t>
  </si>
  <si>
    <t>Optimal price paid for stock over the last 5 years.</t>
  </si>
  <si>
    <t>Low price paid for stock over the last 5 years.</t>
  </si>
  <si>
    <t>Moderate price paid for stock over the last 5 years.</t>
  </si>
  <si>
    <t>Price paid for stock might be overvalued over the last 5 years.</t>
  </si>
  <si>
    <t>Overvalued price paid for stock over the last 5 years.</t>
  </si>
  <si>
    <t>Extreme value paid for stock over the last 5 years.</t>
  </si>
  <si>
    <t>Forward PE is lower.</t>
  </si>
  <si>
    <t>Forward PE is higher.</t>
  </si>
  <si>
    <t>PE Ratio / PFCF Ratio</t>
  </si>
  <si>
    <t>Lower ratio comparing to its competitors</t>
  </si>
  <si>
    <t>Ratio in the average of its competitiors</t>
  </si>
  <si>
    <t>Ratio a bit higher than its competitors</t>
  </si>
  <si>
    <t>Ratio much higher than its competitors</t>
  </si>
  <si>
    <t>Currently, good price paid for stock.</t>
  </si>
  <si>
    <t>Currently, moderate price paid for stock.</t>
  </si>
  <si>
    <t>Currently, bad price paid for stock.</t>
  </si>
  <si>
    <t>Currently, extreme price paid for stock.</t>
  </si>
  <si>
    <t>Negative growth</t>
  </si>
  <si>
    <t>Currently, Optimal growth.</t>
  </si>
  <si>
    <t>Currently, good growth of the stock.</t>
  </si>
  <si>
    <t>Currently, moderate growth of the stock.</t>
  </si>
  <si>
    <t>Currently, bad growth of stock.</t>
  </si>
  <si>
    <t>Currently, really bad growth of stock.</t>
  </si>
  <si>
    <t>CAGR</t>
  </si>
  <si>
    <t>Higher CAGR comparing to its competitors</t>
  </si>
  <si>
    <t>CAGR in the average of its competitiors</t>
  </si>
  <si>
    <t>CAGR a bit lower than its competitors</t>
  </si>
  <si>
    <t>CAGR much lower than its competitors</t>
  </si>
  <si>
    <t>ROA / ROE</t>
  </si>
  <si>
    <t>ROA/ROE higher comparing to its competitors</t>
  </si>
  <si>
    <t>ROA/ROE in the average of its competitors</t>
  </si>
  <si>
    <t>Mediocre returns.</t>
  </si>
  <si>
    <t>Low returns.</t>
  </si>
  <si>
    <t>Average returns.</t>
  </si>
  <si>
    <t>Good returns.</t>
  </si>
  <si>
    <t>Optimal returns.</t>
  </si>
  <si>
    <t>Mediocre returns over the years.</t>
  </si>
  <si>
    <t>Low returns in the last 5 years.</t>
  </si>
  <si>
    <t>Average returns in the last 5 years.</t>
  </si>
  <si>
    <t>Good returns in the last 5 years.</t>
  </si>
  <si>
    <t>Optimal returns in the last 5 years.</t>
  </si>
  <si>
    <t>ROA/ROE lower than its competitors</t>
  </si>
  <si>
    <t>ROA/ROE in the low average of its competitors</t>
  </si>
  <si>
    <t>ROA/ROE in the top average of its competitors</t>
  </si>
  <si>
    <t>ROIC higher comparing to its competitors</t>
  </si>
  <si>
    <t>ROIC in the top average of its competitors</t>
  </si>
  <si>
    <t>ROIC in the average of its competitors</t>
  </si>
  <si>
    <t>ROIC in the low average of its competitors</t>
  </si>
  <si>
    <t>ROIC lower than its competitors</t>
  </si>
  <si>
    <t>Manage to control its costs well.</t>
  </si>
  <si>
    <t>Manage to control its costs very well.</t>
  </si>
  <si>
    <t>Manage to control its costs sometimes.</t>
  </si>
  <si>
    <t>Doesn't control its costs.</t>
  </si>
  <si>
    <t>Good actives.</t>
  </si>
  <si>
    <t>Low actives.</t>
  </si>
  <si>
    <t>DE Ratio</t>
  </si>
  <si>
    <t>Debts are under control.</t>
  </si>
  <si>
    <t>Debts not under control.</t>
  </si>
  <si>
    <t>Common Dividends Paid</t>
  </si>
  <si>
    <t>Negative growth of dividends in the last years.</t>
  </si>
  <si>
    <t>Low growth of dividends in the last years.</t>
  </si>
  <si>
    <t>Moderate growth of dividends in the last years.</t>
  </si>
  <si>
    <t>High growth of dividends in the last years.</t>
  </si>
  <si>
    <t>Optimal growth of dividends in the last years.</t>
  </si>
  <si>
    <t>Very good price at the moment</t>
  </si>
  <si>
    <t>Good price at the moment</t>
  </si>
  <si>
    <t>Not a good option at the moment</t>
  </si>
  <si>
    <t>intrinsic value</t>
  </si>
  <si>
    <t>Future earnings projection is positive.</t>
  </si>
  <si>
    <t>Future earnings projection is worse than current.</t>
  </si>
  <si>
    <t>Sentiment</t>
  </si>
  <si>
    <t>Interest Income</t>
  </si>
  <si>
    <t>General</t>
  </si>
  <si>
    <t>P/FCF</t>
  </si>
  <si>
    <t xml:space="preserve">Current Ratio </t>
  </si>
  <si>
    <t>none</t>
  </si>
  <si>
    <t>Overall</t>
  </si>
  <si>
    <t>Company's description</t>
  </si>
  <si>
    <t>green</t>
  </si>
  <si>
    <t>yellow</t>
  </si>
  <si>
    <t>red</t>
  </si>
  <si>
    <t>SCORE</t>
  </si>
  <si>
    <t>%</t>
  </si>
  <si>
    <t>timeframe</t>
  </si>
  <si>
    <t>1 month</t>
  </si>
  <si>
    <t>6 months</t>
  </si>
  <si>
    <t>2 years</t>
  </si>
  <si>
    <t>Nr. Analysts (atm):</t>
  </si>
  <si>
    <t>Current EBITDA:</t>
  </si>
  <si>
    <t>4 years</t>
  </si>
  <si>
    <t>1 week</t>
  </si>
  <si>
    <t xml:space="preserve"> 1 year</t>
  </si>
  <si>
    <t>Stock</t>
  </si>
  <si>
    <t>Short-term</t>
  </si>
  <si>
    <t>Medium-term</t>
  </si>
  <si>
    <t>long-term</t>
  </si>
  <si>
    <t>1wk</t>
  </si>
  <si>
    <t>1mo</t>
  </si>
  <si>
    <t>6mo</t>
  </si>
  <si>
    <t>1yr</t>
  </si>
  <si>
    <t>2yr</t>
  </si>
  <si>
    <t>4yr</t>
  </si>
  <si>
    <t>Performance</t>
  </si>
  <si>
    <t>Weight</t>
  </si>
  <si>
    <t>Score</t>
  </si>
  <si>
    <t xml:space="preserve">Notes: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</si>
</sst>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990000"/>
      </left>
      <right/>
      <top style="medium">
        <color rgb="FF990000"/>
      </top>
      <bottom/>
      <diagonal/>
    </border>
    <border>
      <left/>
      <right/>
      <top style="medium">
        <color rgb="FF990000"/>
      </top>
      <bottom/>
      <diagonal/>
    </border>
    <border>
      <left/>
      <right style="medium">
        <color rgb="FF990000"/>
      </right>
      <top style="medium">
        <color rgb="FF990000"/>
      </top>
      <bottom/>
      <diagonal/>
    </border>
    <border>
      <left style="medium">
        <color rgb="FF990000"/>
      </left>
      <right/>
      <top/>
      <bottom style="medium">
        <color rgb="FF990000"/>
      </bottom>
      <diagonal/>
    </border>
    <border>
      <left/>
      <right/>
      <top/>
      <bottom style="medium">
        <color rgb="FF990000"/>
      </bottom>
      <diagonal/>
    </border>
    <border>
      <left/>
      <right style="medium">
        <color rgb="FF990000"/>
      </right>
      <top/>
      <bottom style="medium">
        <color rgb="FF990000"/>
      </bottom>
      <diagonal/>
    </border>
    <border>
      <left/>
      <right style="medium">
        <color rgb="FF990000"/>
      </right>
      <top/>
      <bottom/>
      <diagonal/>
    </border>
    <border>
      <left style="medium">
        <color rgb="FF990000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3" fillId="0" borderId="0" xfId="0" quotePrefix="1" applyFont="1" applyAlignment="1">
      <alignment horizontal="left"/>
    </xf>
    <xf numFmtId="9" fontId="0" fillId="0" borderId="0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2" fontId="0" fillId="0" borderId="0" xfId="1" applyNumberFormat="1" applyFon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9" fontId="0" fillId="0" borderId="0" xfId="1" applyFont="1"/>
    <xf numFmtId="0" fontId="0" fillId="0" borderId="0" xfId="0" applyAlignment="1">
      <alignment horizontal="left"/>
    </xf>
    <xf numFmtId="0" fontId="0" fillId="0" borderId="10" xfId="0" applyBorder="1"/>
    <xf numFmtId="0" fontId="1" fillId="0" borderId="11" xfId="0" applyFont="1" applyBorder="1" applyAlignment="1">
      <alignment horizontal="center"/>
    </xf>
    <xf numFmtId="0" fontId="1" fillId="0" borderId="10" xfId="0" applyFont="1" applyBorder="1"/>
    <xf numFmtId="0" fontId="1" fillId="0" borderId="12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3" borderId="10" xfId="0" applyFont="1" applyFill="1" applyBorder="1"/>
    <xf numFmtId="0" fontId="8" fillId="3" borderId="0" xfId="0" applyFont="1" applyFill="1" applyAlignment="1">
      <alignment horizontal="center"/>
    </xf>
    <xf numFmtId="0" fontId="0" fillId="4" borderId="10" xfId="0" applyFill="1" applyBorder="1"/>
    <xf numFmtId="0" fontId="0" fillId="4" borderId="0" xfId="0" applyFill="1" applyAlignment="1">
      <alignment horizontal="center"/>
    </xf>
    <xf numFmtId="0" fontId="1" fillId="0" borderId="8" xfId="0" applyFont="1" applyBorder="1"/>
    <xf numFmtId="0" fontId="0" fillId="0" borderId="11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Border="1"/>
    <xf numFmtId="0" fontId="1" fillId="0" borderId="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8" fillId="2" borderId="0" xfId="0" applyFont="1" applyFill="1" applyAlignment="1">
      <alignment vertical="center" wrapText="1"/>
    </xf>
    <xf numFmtId="14" fontId="9" fillId="2" borderId="0" xfId="0" applyNumberFormat="1" applyFont="1" applyFill="1" applyAlignment="1">
      <alignment horizontal="left" vertical="center"/>
    </xf>
    <xf numFmtId="0" fontId="0" fillId="0" borderId="7" xfId="0" applyBorder="1"/>
    <xf numFmtId="0" fontId="0" fillId="0" borderId="10" xfId="0" applyBorder="1" applyAlignment="1">
      <alignment horizontal="right"/>
    </xf>
    <xf numFmtId="0" fontId="3" fillId="0" borderId="10" xfId="0" quotePrefix="1" applyFont="1" applyBorder="1" applyAlignment="1">
      <alignment horizontal="left"/>
    </xf>
    <xf numFmtId="0" fontId="0" fillId="0" borderId="12" xfId="0" applyBorder="1" applyAlignment="1">
      <alignment horizontal="right"/>
    </xf>
    <xf numFmtId="9" fontId="0" fillId="0" borderId="13" xfId="1" applyFont="1" applyBorder="1" applyAlignment="1">
      <alignment horizontal="center"/>
    </xf>
    <xf numFmtId="0" fontId="0" fillId="0" borderId="10" xfId="0" quotePrefix="1" applyBorder="1" applyAlignment="1">
      <alignment horizontal="right"/>
    </xf>
    <xf numFmtId="0" fontId="4" fillId="0" borderId="10" xfId="0" applyFont="1" applyBorder="1"/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0" xfId="0" applyFont="1" applyBorder="1"/>
    <xf numFmtId="0" fontId="11" fillId="5" borderId="10" xfId="0" applyFont="1" applyFill="1" applyBorder="1"/>
    <xf numFmtId="0" fontId="0" fillId="5" borderId="0" xfId="0" applyFill="1"/>
    <xf numFmtId="0" fontId="1" fillId="5" borderId="11" xfId="0" applyFont="1" applyFill="1" applyBorder="1" applyAlignment="1">
      <alignment horizontal="center"/>
    </xf>
    <xf numFmtId="0" fontId="0" fillId="5" borderId="11" xfId="0" applyFill="1" applyBorder="1"/>
    <xf numFmtId="0" fontId="4" fillId="5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0" fillId="5" borderId="10" xfId="0" applyFill="1" applyBorder="1"/>
    <xf numFmtId="0" fontId="0" fillId="5" borderId="0" xfId="0" applyFill="1" applyAlignment="1">
      <alignment horizontal="center"/>
    </xf>
    <xf numFmtId="0" fontId="1" fillId="5" borderId="10" xfId="0" applyFont="1" applyFill="1" applyBorder="1"/>
    <xf numFmtId="0" fontId="0" fillId="5" borderId="11" xfId="0" applyFill="1" applyBorder="1" applyAlignment="1">
      <alignment horizontal="center"/>
    </xf>
    <xf numFmtId="0" fontId="3" fillId="4" borderId="12" xfId="0" applyFont="1" applyFill="1" applyBorder="1" applyAlignment="1">
      <alignment horizontal="right"/>
    </xf>
    <xf numFmtId="2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0" fontId="0" fillId="4" borderId="13" xfId="1" applyNumberFormat="1" applyFont="1" applyFill="1" applyBorder="1" applyAlignment="1">
      <alignment horizontal="center"/>
    </xf>
    <xf numFmtId="0" fontId="0" fillId="4" borderId="13" xfId="0" applyFill="1" applyBorder="1"/>
    <xf numFmtId="0" fontId="0" fillId="4" borderId="14" xfId="0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11" xfId="0" applyFill="1" applyBorder="1"/>
    <xf numFmtId="9" fontId="15" fillId="5" borderId="0" xfId="1" applyFont="1" applyFill="1" applyBorder="1"/>
    <xf numFmtId="0" fontId="9" fillId="0" borderId="0" xfId="0" applyFont="1"/>
    <xf numFmtId="9" fontId="9" fillId="0" borderId="0" xfId="1" applyFont="1" applyBorder="1"/>
    <xf numFmtId="0" fontId="0" fillId="5" borderId="0" xfId="0" quotePrefix="1" applyFill="1"/>
    <xf numFmtId="0" fontId="1" fillId="5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1" fillId="5" borderId="15" xfId="0" applyFont="1" applyFill="1" applyBorder="1"/>
    <xf numFmtId="0" fontId="0" fillId="5" borderId="16" xfId="0" applyFill="1" applyBorder="1"/>
    <xf numFmtId="0" fontId="1" fillId="5" borderId="17" xfId="0" applyFont="1" applyFill="1" applyBorder="1" applyAlignment="1">
      <alignment horizontal="center"/>
    </xf>
    <xf numFmtId="0" fontId="0" fillId="0" borderId="22" xfId="0" applyBorder="1"/>
    <xf numFmtId="0" fontId="0" fillId="4" borderId="22" xfId="0" applyFill="1" applyBorder="1"/>
    <xf numFmtId="0" fontId="1" fillId="4" borderId="21" xfId="0" applyFont="1" applyFill="1" applyBorder="1" applyAlignment="1">
      <alignment horizontal="center"/>
    </xf>
    <xf numFmtId="0" fontId="11" fillId="5" borderId="22" xfId="0" applyFont="1" applyFill="1" applyBorder="1"/>
    <xf numFmtId="0" fontId="1" fillId="5" borderId="21" xfId="0" applyFont="1" applyFill="1" applyBorder="1" applyAlignment="1">
      <alignment horizontal="center"/>
    </xf>
    <xf numFmtId="0" fontId="14" fillId="4" borderId="18" xfId="0" applyFont="1" applyFill="1" applyBorder="1"/>
    <xf numFmtId="0" fontId="0" fillId="4" borderId="19" xfId="0" applyFill="1" applyBorder="1"/>
    <xf numFmtId="0" fontId="1" fillId="4" borderId="20" xfId="0" applyFont="1" applyFill="1" applyBorder="1" applyAlignment="1">
      <alignment horizontal="center"/>
    </xf>
    <xf numFmtId="0" fontId="0" fillId="3" borderId="16" xfId="0" applyFill="1" applyBorder="1"/>
    <xf numFmtId="0" fontId="0" fillId="3" borderId="19" xfId="0" applyFill="1" applyBorder="1"/>
    <xf numFmtId="0" fontId="19" fillId="0" borderId="0" xfId="0" applyFont="1"/>
    <xf numFmtId="164" fontId="3" fillId="5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21" fillId="0" borderId="0" xfId="0" applyFont="1"/>
    <xf numFmtId="0" fontId="0" fillId="0" borderId="20" xfId="0" applyBorder="1" applyAlignment="1">
      <alignment horizontal="center" vertical="center"/>
    </xf>
    <xf numFmtId="0" fontId="7" fillId="5" borderId="22" xfId="0" applyFont="1" applyFill="1" applyBorder="1"/>
    <xf numFmtId="0" fontId="3" fillId="5" borderId="0" xfId="0" applyFont="1" applyFill="1" applyAlignment="1">
      <alignment horizontal="center"/>
    </xf>
    <xf numFmtId="0" fontId="0" fillId="5" borderId="21" xfId="0" applyFill="1" applyBorder="1"/>
    <xf numFmtId="0" fontId="3" fillId="0" borderId="22" xfId="0" applyFont="1" applyBorder="1"/>
    <xf numFmtId="0" fontId="0" fillId="0" borderId="21" xfId="0" applyBorder="1" applyAlignment="1">
      <alignment horizontal="center"/>
    </xf>
    <xf numFmtId="10" fontId="9" fillId="0" borderId="0" xfId="0" applyNumberFormat="1" applyFont="1"/>
    <xf numFmtId="0" fontId="3" fillId="0" borderId="18" xfId="0" applyFont="1" applyBorder="1"/>
    <xf numFmtId="2" fontId="0" fillId="0" borderId="19" xfId="0" applyNumberFormat="1" applyBorder="1" applyAlignment="1">
      <alignment horizontal="center"/>
    </xf>
    <xf numFmtId="164" fontId="0" fillId="0" borderId="19" xfId="1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164" fontId="9" fillId="0" borderId="0" xfId="1" applyNumberFormat="1" applyFont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0" fillId="6" borderId="7" xfId="0" applyFont="1" applyFill="1" applyBorder="1" applyAlignment="1">
      <alignment horizontal="left" vertical="top"/>
    </xf>
    <xf numFmtId="0" fontId="18" fillId="6" borderId="8" xfId="0" applyFont="1" applyFill="1" applyBorder="1" applyAlignment="1">
      <alignment horizontal="left" vertical="top"/>
    </xf>
    <xf numFmtId="0" fontId="18" fillId="6" borderId="9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3" fillId="0" borderId="0" xfId="0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11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/>
    <xf numFmtId="0" fontId="0" fillId="0" borderId="11" xfId="0" applyBorder="1"/>
    <xf numFmtId="0" fontId="0" fillId="4" borderId="0" xfId="0" applyFill="1"/>
    <xf numFmtId="0" fontId="0" fillId="4" borderId="11" xfId="0" applyFill="1" applyBorder="1"/>
    <xf numFmtId="0" fontId="16" fillId="0" borderId="0" xfId="0" applyFont="1" applyAlignment="1">
      <alignment horizontal="center" vertical="center"/>
    </xf>
    <xf numFmtId="10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9900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v>Green</c:v>
          </c:tx>
          <c:spPr>
            <a:solidFill>
              <a:schemeClr val="accent6"/>
            </a:solidFill>
            <a:ln w="31750">
              <a:round/>
            </a:ln>
          </c:spPr>
          <c:dPt>
            <c:idx val="0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8-4F79-8353-DF33043FE28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8-4F79-8353-DF33043FE28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88-4F79-8353-DF33043FE28E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88-4F79-8353-DF33043FE28E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988-4F79-8353-DF33043FE2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988-4F79-8353-DF33043FE28E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988-4F79-8353-DF33043FE28E}"/>
              </c:ext>
            </c:extLst>
          </c:dPt>
          <c:dPt>
            <c:idx val="7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988-4F79-8353-DF33043FE28E}"/>
              </c:ext>
            </c:extLst>
          </c:dPt>
          <c:dPt>
            <c:idx val="8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988-4F79-8353-DF33043FE28E}"/>
              </c:ext>
            </c:extLst>
          </c:dPt>
          <c:dPt>
            <c:idx val="9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988-4F79-8353-DF33043FE28E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988-4F79-8353-DF33043FE28E}"/>
              </c:ext>
            </c:extLst>
          </c:dPt>
          <c:dPt>
            <c:idx val="11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988-4F79-8353-DF33043FE28E}"/>
              </c:ext>
            </c:extLst>
          </c:dPt>
          <c:dPt>
            <c:idx val="12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E988-4F79-8353-DF33043FE28E}"/>
              </c:ext>
            </c:extLst>
          </c:dPt>
          <c:dPt>
            <c:idx val="13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E988-4F79-8353-DF33043FE28E}"/>
              </c:ext>
            </c:extLst>
          </c:dPt>
          <c:dPt>
            <c:idx val="14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E988-4F79-8353-DF33043FE28E}"/>
              </c:ext>
            </c:extLst>
          </c:dPt>
          <c:dPt>
            <c:idx val="15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E988-4F79-8353-DF33043FE28E}"/>
              </c:ext>
            </c:extLst>
          </c:dPt>
          <c:dPt>
            <c:idx val="16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E988-4F79-8353-DF33043FE28E}"/>
              </c:ext>
            </c:extLst>
          </c:dPt>
          <c:dPt>
            <c:idx val="17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E988-4F79-8353-DF33043FE28E}"/>
              </c:ext>
            </c:extLst>
          </c:dPt>
          <c:dPt>
            <c:idx val="18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E988-4F79-8353-DF33043FE28E}"/>
              </c:ext>
            </c:extLst>
          </c:dPt>
          <c:dPt>
            <c:idx val="19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E988-4F79-8353-DF33043FE28E}"/>
              </c:ext>
            </c:extLst>
          </c:dPt>
          <c:dPt>
            <c:idx val="20"/>
            <c:bubble3D val="0"/>
            <c:spPr>
              <a:solidFill>
                <a:schemeClr val="accent6"/>
              </a:solidFill>
              <a:ln w="317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E988-4F79-8353-DF33043FE28E}"/>
              </c:ext>
            </c:extLst>
          </c:dPt>
          <c:val>
            <c:numRef>
              <c:f>Sheet1!$AB$251:$AB$271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2-4F24-BE6D-AF46CA857FAE}"/>
            </c:ext>
          </c:extLst>
        </c:ser>
        <c:ser>
          <c:idx val="1"/>
          <c:order val="1"/>
          <c:tx>
            <c:v>Yellow</c:v>
          </c:tx>
          <c:spPr>
            <a:solidFill>
              <a:srgbClr val="FFC000"/>
            </a:solidFill>
            <a:ln w="31750"/>
          </c:spPr>
          <c:dPt>
            <c:idx val="0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988-4F79-8353-DF33043FE28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988-4F79-8353-DF33043FE28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988-4F79-8353-DF33043FE28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988-4F79-8353-DF33043FE28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988-4F79-8353-DF33043FE28E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988-4F79-8353-DF33043FE28E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988-4F79-8353-DF33043FE28E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988-4F79-8353-DF33043FE28E}"/>
              </c:ext>
            </c:extLst>
          </c:dPt>
          <c:dPt>
            <c:idx val="8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988-4F79-8353-DF33043FE28E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988-4F79-8353-DF33043FE28E}"/>
              </c:ext>
            </c:extLst>
          </c:dPt>
          <c:dPt>
            <c:idx val="10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988-4F79-8353-DF33043FE28E}"/>
              </c:ext>
            </c:extLst>
          </c:dPt>
          <c:dPt>
            <c:idx val="11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988-4F79-8353-DF33043FE28E}"/>
              </c:ext>
            </c:extLst>
          </c:dPt>
          <c:dPt>
            <c:idx val="12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988-4F79-8353-DF33043FE28E}"/>
              </c:ext>
            </c:extLst>
          </c:dPt>
          <c:dPt>
            <c:idx val="13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988-4F79-8353-DF33043FE28E}"/>
              </c:ext>
            </c:extLst>
          </c:dPt>
          <c:dPt>
            <c:idx val="14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988-4F79-8353-DF33043FE28E}"/>
              </c:ext>
            </c:extLst>
          </c:dPt>
          <c:dPt>
            <c:idx val="15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988-4F79-8353-DF33043FE28E}"/>
              </c:ext>
            </c:extLst>
          </c:dPt>
          <c:dPt>
            <c:idx val="16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988-4F79-8353-DF33043FE28E}"/>
              </c:ext>
            </c:extLst>
          </c:dPt>
          <c:dPt>
            <c:idx val="17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988-4F79-8353-DF33043FE28E}"/>
              </c:ext>
            </c:extLst>
          </c:dPt>
          <c:dPt>
            <c:idx val="18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988-4F79-8353-DF33043FE28E}"/>
              </c:ext>
            </c:extLst>
          </c:dPt>
          <c:dPt>
            <c:idx val="19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988-4F79-8353-DF33043FE28E}"/>
              </c:ext>
            </c:extLst>
          </c:dPt>
          <c:dPt>
            <c:idx val="20"/>
            <c:bubble3D val="0"/>
            <c:spPr>
              <a:solidFill>
                <a:srgbClr val="FFC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988-4F79-8353-DF33043FE28E}"/>
              </c:ext>
            </c:extLst>
          </c:dPt>
          <c:val>
            <c:numRef>
              <c:f>Sheet1!$AC$251:$AC$271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2-4F24-BE6D-AF46CA857FAE}"/>
            </c:ext>
          </c:extLst>
        </c:ser>
        <c:ser>
          <c:idx val="2"/>
          <c:order val="2"/>
          <c:tx>
            <c:v>Red</c:v>
          </c:tx>
          <c:spPr>
            <a:solidFill>
              <a:srgbClr val="C00000"/>
            </a:solidFill>
            <a:ln w="31750"/>
          </c:spPr>
          <c:dPt>
            <c:idx val="0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988-4F79-8353-DF33043FE28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988-4F79-8353-DF33043FE28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988-4F79-8353-DF33043FE28E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988-4F79-8353-DF33043FE28E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988-4F79-8353-DF33043FE28E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988-4F79-8353-DF33043FE28E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988-4F79-8353-DF33043FE28E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988-4F79-8353-DF33043FE28E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988-4F79-8353-DF33043FE28E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988-4F79-8353-DF33043FE28E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E988-4F79-8353-DF33043FE28E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E988-4F79-8353-DF33043FE28E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E988-4F79-8353-DF33043FE28E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E988-4F79-8353-DF33043FE28E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E988-4F79-8353-DF33043FE28E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E988-4F79-8353-DF33043FE28E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E988-4F79-8353-DF33043FE28E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E988-4F79-8353-DF33043FE28E}"/>
              </c:ext>
            </c:extLst>
          </c:dPt>
          <c:dPt>
            <c:idx val="18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E988-4F79-8353-DF33043FE28E}"/>
              </c:ext>
            </c:extLst>
          </c:dPt>
          <c:dPt>
            <c:idx val="19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E988-4F79-8353-DF33043FE28E}"/>
              </c:ext>
            </c:extLst>
          </c:dPt>
          <c:dPt>
            <c:idx val="20"/>
            <c:bubble3D val="0"/>
            <c:spPr>
              <a:solidFill>
                <a:srgbClr val="C00000"/>
              </a:solidFill>
              <a:ln w="317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E988-4F79-8353-DF33043FE28E}"/>
              </c:ext>
            </c:extLst>
          </c:dPt>
          <c:val>
            <c:numRef>
              <c:f>Sheet1!$AD$251:$AD$271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D2-4F24-BE6D-AF46CA857FAE}"/>
            </c:ext>
          </c:extLst>
        </c:ser>
        <c:ser>
          <c:idx val="3"/>
          <c:order val="3"/>
          <c:tx>
            <c:v>Score</c:v>
          </c:tx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1D2-4F24-BE6D-AF46CA857FAE}"/>
              </c:ext>
            </c:extLst>
          </c:dPt>
          <c:dPt>
            <c:idx val="1"/>
            <c:bubble3D val="0"/>
            <c:spPr>
              <a:solidFill>
                <a:schemeClr val="bg1">
                  <a:alpha val="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D2-4F24-BE6D-AF46CA857FAE}"/>
              </c:ext>
            </c:extLst>
          </c:dPt>
          <c:val>
            <c:numRef>
              <c:f>Sheet1!$K$252:$K$253</c:f>
              <c:numCache>
                <c:formatCode>0%</c:formatCode>
                <c:ptCount val="2"/>
                <c:pt idx="0" formatCode="0.00%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D2-4F24-BE6D-AF46CA85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224118</xdr:colOff>
      <xdr:row>257</xdr:row>
      <xdr:rowOff>44824</xdr:rowOff>
    </xdr:from>
    <xdr:to>
      <xdr:col>13</xdr:col>
      <xdr:colOff>168088</xdr:colOff>
      <xdr:row>286</xdr:row>
      <xdr:rowOff>56031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0AF7C-C610-ADB9-6062-414B3F6B3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L295"/>
  <sheetViews>
    <sheetView showGridLines="0" tabSelected="1" topLeftCell="A211" zoomScale="85" zoomScaleNormal="85" workbookViewId="0">
      <selection activeCell="X232" sqref="X232"/>
    </sheetView>
  </sheetViews>
  <sheetFormatPr defaultRowHeight="15" x14ac:dyDescent="0.25"/>
  <cols>
    <col min="1" max="1" width="5.5703125" customWidth="1"/>
    <col min="2" max="2" width="27.85546875" customWidth="1"/>
    <col min="3" max="8" width="12.85546875" customWidth="1"/>
    <col min="9" max="9" width="1.28515625" customWidth="1"/>
    <col min="10" max="10" width="13.42578125" customWidth="1"/>
    <col min="11" max="11" width="11.28515625" customWidth="1"/>
    <col min="12" max="14" width="8.42578125" customWidth="1"/>
    <col min="15" max="15" width="13.7109375" bestFit="1" customWidth="1"/>
    <col min="16" max="16" width="11.28515625" style="7" customWidth="1"/>
  </cols>
  <sheetData>
    <row r="1" spans="2:16" ht="43.5" customHeight="1" thickBot="1" x14ac:dyDescent="0.3">
      <c r="B1" s="126" t="s">
        <v>84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44" t="s">
        <v>85</v>
      </c>
      <c r="P1" s="45">
        <f ca="1">+TODAY()</f>
        <v>46076</v>
      </c>
    </row>
    <row r="2" spans="2:16" ht="15" customHeight="1" x14ac:dyDescent="0.25">
      <c r="B2" s="165" t="s">
        <v>294</v>
      </c>
      <c r="C2" s="165"/>
      <c r="D2" s="165"/>
      <c r="E2" s="165"/>
      <c r="F2" s="165"/>
      <c r="G2" s="165"/>
      <c r="H2" s="165"/>
      <c r="J2" s="161" t="s">
        <v>288</v>
      </c>
      <c r="K2" s="162"/>
      <c r="L2" s="162"/>
      <c r="M2" s="162"/>
      <c r="N2" s="162"/>
      <c r="O2" s="162"/>
      <c r="P2" s="163"/>
    </row>
    <row r="3" spans="2:16" ht="15.75" customHeight="1" thickBot="1" x14ac:dyDescent="0.3">
      <c r="B3" s="167"/>
      <c r="C3" s="167"/>
      <c r="D3" s="167"/>
      <c r="E3" s="167"/>
      <c r="F3" s="167"/>
      <c r="G3" s="167"/>
      <c r="H3" s="167"/>
      <c r="J3" s="164"/>
      <c r="K3" s="165"/>
      <c r="L3" s="165"/>
      <c r="M3" s="165"/>
      <c r="N3" s="165"/>
      <c r="O3" s="165"/>
      <c r="P3" s="166"/>
    </row>
    <row r="4" spans="2:16" x14ac:dyDescent="0.25">
      <c r="B4" s="137"/>
      <c r="C4" s="138"/>
      <c r="D4" s="37" t="s">
        <v>0</v>
      </c>
      <c r="E4" s="141"/>
      <c r="F4" s="141"/>
      <c r="G4" s="141"/>
      <c r="H4" s="142"/>
      <c r="J4" s="27"/>
      <c r="P4" s="28"/>
    </row>
    <row r="5" spans="2:16" x14ac:dyDescent="0.25">
      <c r="B5" s="139"/>
      <c r="C5" s="140"/>
      <c r="D5" s="75" t="s">
        <v>33</v>
      </c>
      <c r="E5" s="144"/>
      <c r="F5" s="144"/>
      <c r="G5" s="144"/>
      <c r="H5" s="145"/>
      <c r="J5" s="27"/>
      <c r="K5" s="143" t="s">
        <v>305</v>
      </c>
      <c r="L5" s="143"/>
      <c r="M5" s="143"/>
      <c r="N5" s="143"/>
      <c r="P5" s="28"/>
    </row>
    <row r="6" spans="2:16" x14ac:dyDescent="0.25">
      <c r="B6" s="139"/>
      <c r="C6" s="140"/>
      <c r="D6" s="1" t="s">
        <v>7</v>
      </c>
      <c r="E6" s="151"/>
      <c r="F6" s="151"/>
      <c r="G6" s="151"/>
      <c r="H6" s="152"/>
      <c r="J6" s="27"/>
      <c r="P6" s="28"/>
    </row>
    <row r="7" spans="2:16" x14ac:dyDescent="0.25">
      <c r="B7" s="139"/>
      <c r="C7" s="140"/>
      <c r="D7" s="75" t="s">
        <v>6</v>
      </c>
      <c r="E7" s="153"/>
      <c r="F7" s="153"/>
      <c r="G7" s="153"/>
      <c r="H7" s="154"/>
      <c r="J7" s="33" t="s">
        <v>14</v>
      </c>
      <c r="K7" s="34" t="s">
        <v>9</v>
      </c>
      <c r="L7" s="34" t="s">
        <v>10</v>
      </c>
      <c r="M7" s="34" t="s">
        <v>11</v>
      </c>
      <c r="N7" s="34" t="s">
        <v>12</v>
      </c>
      <c r="O7" s="34" t="s">
        <v>13</v>
      </c>
      <c r="P7" s="28"/>
    </row>
    <row r="8" spans="2:16" x14ac:dyDescent="0.25">
      <c r="B8" s="139"/>
      <c r="C8" s="140"/>
      <c r="D8" s="1" t="s">
        <v>1</v>
      </c>
      <c r="H8" s="38"/>
      <c r="J8" s="27" t="s">
        <v>15</v>
      </c>
      <c r="K8" s="7"/>
      <c r="L8" s="7"/>
      <c r="M8" s="7"/>
      <c r="N8" s="7"/>
      <c r="O8" s="7"/>
      <c r="P8" s="28"/>
    </row>
    <row r="9" spans="2:16" x14ac:dyDescent="0.25">
      <c r="B9" s="139"/>
      <c r="C9" s="140"/>
      <c r="D9" s="75" t="s">
        <v>2</v>
      </c>
      <c r="E9" s="144"/>
      <c r="F9" s="144"/>
      <c r="G9" s="76"/>
      <c r="H9" s="77"/>
      <c r="J9" s="35" t="s">
        <v>16</v>
      </c>
      <c r="K9" s="36"/>
      <c r="L9" s="36"/>
      <c r="M9" s="36"/>
      <c r="N9" s="36"/>
      <c r="O9" s="36"/>
      <c r="P9" s="28"/>
    </row>
    <row r="10" spans="2:16" x14ac:dyDescent="0.25">
      <c r="B10" s="139"/>
      <c r="C10" s="140"/>
      <c r="D10" s="1" t="s">
        <v>3</v>
      </c>
      <c r="E10" s="129"/>
      <c r="F10" s="129"/>
      <c r="H10" s="38"/>
      <c r="J10" s="27" t="s">
        <v>17</v>
      </c>
      <c r="K10" s="7"/>
      <c r="L10" s="7"/>
      <c r="M10" s="7"/>
      <c r="N10" s="7"/>
      <c r="O10" s="7"/>
      <c r="P10" s="28"/>
    </row>
    <row r="11" spans="2:16" x14ac:dyDescent="0.25">
      <c r="B11" s="139"/>
      <c r="C11" s="140"/>
      <c r="D11" s="75" t="s">
        <v>8</v>
      </c>
      <c r="E11" s="76"/>
      <c r="F11" s="76" t="s">
        <v>4</v>
      </c>
      <c r="G11" s="76"/>
      <c r="H11" s="77"/>
      <c r="J11" s="35" t="s">
        <v>18</v>
      </c>
      <c r="K11" s="36"/>
      <c r="L11" s="36"/>
      <c r="M11" s="36"/>
      <c r="N11" s="36"/>
      <c r="O11" s="36"/>
      <c r="P11" s="28"/>
    </row>
    <row r="12" spans="2:16" x14ac:dyDescent="0.25">
      <c r="B12" s="139"/>
      <c r="C12" s="140"/>
      <c r="D12" s="1" t="s">
        <v>5</v>
      </c>
      <c r="H12" s="38"/>
      <c r="J12" s="27"/>
      <c r="P12" s="28" t="s">
        <v>124</v>
      </c>
    </row>
    <row r="13" spans="2:16" x14ac:dyDescent="0.25">
      <c r="B13" s="139"/>
      <c r="C13" s="140"/>
      <c r="D13" s="75" t="s">
        <v>34</v>
      </c>
      <c r="E13" s="76"/>
      <c r="F13" s="76"/>
      <c r="G13" s="76"/>
      <c r="H13" s="77"/>
      <c r="J13" s="130" t="s">
        <v>19</v>
      </c>
      <c r="K13" s="131"/>
      <c r="L13" s="121"/>
      <c r="M13" s="121"/>
      <c r="N13" s="121"/>
      <c r="O13" s="121"/>
      <c r="P13" s="28" t="str">
        <f>+IF(OR(L13="",L13="none"),"",VLOOKUP(L13,Sheet2!$A$1:$B$6,2,FALSE))</f>
        <v/>
      </c>
    </row>
    <row r="14" spans="2:16" x14ac:dyDescent="0.25">
      <c r="B14" s="27"/>
      <c r="H14" s="38"/>
      <c r="J14" s="27"/>
      <c r="P14" s="28" t="s">
        <v>124</v>
      </c>
    </row>
    <row r="15" spans="2:16" ht="16.5" thickBot="1" x14ac:dyDescent="0.3">
      <c r="B15" s="58" t="s">
        <v>295</v>
      </c>
      <c r="C15" s="59"/>
      <c r="D15" s="59"/>
      <c r="E15" s="59"/>
      <c r="F15" s="59"/>
      <c r="G15" s="59"/>
      <c r="H15" s="61"/>
      <c r="J15" s="67" t="s">
        <v>20</v>
      </c>
      <c r="K15" s="59"/>
      <c r="L15" s="81" t="s">
        <v>21</v>
      </c>
      <c r="M15" s="121" t="str">
        <f>IF(K15="","",IF(K15&lt;0.8,"Low volatility",IF(K15&lt;=1.2,"Normal volatility","High volatility")))</f>
        <v/>
      </c>
      <c r="N15" s="121"/>
      <c r="O15" s="121"/>
      <c r="P15" s="28" t="str">
        <f>+IF(M15="","",VLOOKUP(M15,Sheet2!$A$8:$B$11,2,FALSE))</f>
        <v/>
      </c>
    </row>
    <row r="16" spans="2:16" ht="249" customHeight="1" thickBot="1" x14ac:dyDescent="0.3">
      <c r="B16" s="148"/>
      <c r="C16" s="149"/>
      <c r="D16" s="149"/>
      <c r="E16" s="149"/>
      <c r="F16" s="149"/>
      <c r="G16" s="149"/>
      <c r="H16" s="150"/>
      <c r="J16" s="132" t="s">
        <v>323</v>
      </c>
      <c r="K16" s="133"/>
      <c r="L16" s="133"/>
      <c r="M16" s="133"/>
      <c r="N16" s="133"/>
      <c r="O16" s="133"/>
      <c r="P16" s="134"/>
    </row>
    <row r="17" spans="2:16" ht="18.75" customHeight="1" x14ac:dyDescent="0.25">
      <c r="B17" s="148"/>
      <c r="C17" s="149"/>
      <c r="D17" s="149"/>
      <c r="E17" s="149"/>
      <c r="F17" s="149"/>
      <c r="G17" s="149"/>
      <c r="H17" s="150"/>
      <c r="J17" s="89" t="s">
        <v>22</v>
      </c>
      <c r="K17" s="90"/>
      <c r="L17" s="90"/>
      <c r="M17" s="90"/>
      <c r="N17" s="90"/>
      <c r="O17" s="90"/>
      <c r="P17" s="91"/>
    </row>
    <row r="18" spans="2:16" ht="18.75" customHeight="1" x14ac:dyDescent="0.25">
      <c r="B18" s="148"/>
      <c r="C18" s="149"/>
      <c r="D18" s="149"/>
      <c r="E18" s="149"/>
      <c r="F18" s="149"/>
      <c r="G18" s="149"/>
      <c r="H18" s="150"/>
      <c r="J18" s="92" t="s">
        <v>23</v>
      </c>
      <c r="P18" s="88"/>
    </row>
    <row r="19" spans="2:16" ht="18.75" customHeight="1" x14ac:dyDescent="0.25">
      <c r="B19" s="148"/>
      <c r="C19" s="149"/>
      <c r="D19" s="149"/>
      <c r="E19" s="149"/>
      <c r="F19" s="149"/>
      <c r="G19" s="149"/>
      <c r="H19" s="150"/>
      <c r="J19" s="93" t="s">
        <v>24</v>
      </c>
      <c r="K19" s="76"/>
      <c r="L19" s="76"/>
      <c r="M19" s="76"/>
      <c r="N19" s="76"/>
      <c r="O19" s="76"/>
      <c r="P19" s="94"/>
    </row>
    <row r="20" spans="2:16" ht="18.75" customHeight="1" x14ac:dyDescent="0.25">
      <c r="B20" s="148"/>
      <c r="C20" s="149"/>
      <c r="D20" s="149"/>
      <c r="E20" s="149"/>
      <c r="F20" s="149"/>
      <c r="G20" s="149"/>
      <c r="H20" s="150"/>
      <c r="J20" s="92" t="s">
        <v>25</v>
      </c>
      <c r="P20" s="88"/>
    </row>
    <row r="21" spans="2:16" x14ac:dyDescent="0.25">
      <c r="B21" s="39"/>
      <c r="C21" s="2"/>
      <c r="D21" s="2"/>
      <c r="E21" s="2"/>
      <c r="F21" s="2"/>
      <c r="G21" s="2"/>
      <c r="H21" s="40"/>
      <c r="J21" s="92"/>
      <c r="P21" s="88"/>
    </row>
    <row r="22" spans="2:16" ht="15.75" x14ac:dyDescent="0.25">
      <c r="B22" s="58" t="s">
        <v>35</v>
      </c>
      <c r="C22" s="59"/>
      <c r="D22" s="59"/>
      <c r="E22" s="59"/>
      <c r="F22" s="62" t="s">
        <v>36</v>
      </c>
      <c r="G22" s="146" t="s">
        <v>37</v>
      </c>
      <c r="H22" s="147"/>
      <c r="J22" s="92" t="s">
        <v>26</v>
      </c>
      <c r="L22" s="129"/>
      <c r="M22" s="129"/>
      <c r="N22" s="129"/>
      <c r="O22" s="129"/>
      <c r="P22" s="88"/>
    </row>
    <row r="23" spans="2:16" x14ac:dyDescent="0.25">
      <c r="B23" s="39"/>
      <c r="C23" s="2"/>
      <c r="D23" s="2"/>
      <c r="E23" s="2"/>
      <c r="F23" s="2"/>
      <c r="G23" s="2"/>
      <c r="H23" s="40"/>
      <c r="J23" s="92" t="s">
        <v>306</v>
      </c>
      <c r="L23" s="129"/>
      <c r="M23" s="129"/>
      <c r="N23" s="129"/>
      <c r="O23" s="129"/>
      <c r="P23" s="88"/>
    </row>
    <row r="24" spans="2:16" ht="19.5" customHeight="1" x14ac:dyDescent="0.25">
      <c r="B24" s="39"/>
      <c r="C24" s="2"/>
      <c r="D24" s="2"/>
      <c r="E24" s="2"/>
      <c r="F24" s="2"/>
      <c r="G24" s="2"/>
      <c r="H24" s="40"/>
      <c r="J24" s="92"/>
      <c r="P24" s="88"/>
    </row>
    <row r="25" spans="2:16" ht="90" customHeight="1" x14ac:dyDescent="0.25">
      <c r="B25" s="39"/>
      <c r="C25" s="2"/>
      <c r="D25" s="2"/>
      <c r="E25" s="2"/>
      <c r="F25" s="2"/>
      <c r="G25" s="2"/>
      <c r="H25" s="40"/>
      <c r="J25" s="92"/>
      <c r="P25" s="88"/>
    </row>
    <row r="26" spans="2:16" ht="69.75" customHeight="1" x14ac:dyDescent="0.25">
      <c r="B26" s="39"/>
      <c r="C26" s="2"/>
      <c r="D26" s="2"/>
      <c r="E26" s="2"/>
      <c r="F26" s="2"/>
      <c r="G26" s="2"/>
      <c r="H26" s="40"/>
      <c r="J26" s="92"/>
      <c r="P26" s="88"/>
    </row>
    <row r="27" spans="2:16" ht="17.25" customHeight="1" x14ac:dyDescent="0.25">
      <c r="B27" s="39"/>
      <c r="C27" s="2"/>
      <c r="D27" s="2"/>
      <c r="E27" s="2"/>
      <c r="F27" s="2"/>
      <c r="G27" s="2"/>
      <c r="H27" s="40"/>
      <c r="J27" s="95" t="s">
        <v>27</v>
      </c>
      <c r="K27" s="59"/>
      <c r="L27" s="59"/>
      <c r="M27" s="59"/>
      <c r="N27" s="59"/>
      <c r="O27" s="59"/>
      <c r="P27" s="96"/>
    </row>
    <row r="28" spans="2:16" x14ac:dyDescent="0.25">
      <c r="B28" s="39"/>
      <c r="C28" s="2"/>
      <c r="D28" s="2"/>
      <c r="E28" s="2"/>
      <c r="F28" s="2"/>
      <c r="G28" s="2"/>
      <c r="H28" s="40"/>
      <c r="J28" s="92" t="s">
        <v>28</v>
      </c>
      <c r="P28" s="88"/>
    </row>
    <row r="29" spans="2:16" x14ac:dyDescent="0.25">
      <c r="B29" s="39"/>
      <c r="C29" s="2"/>
      <c r="D29" s="2"/>
      <c r="E29" s="2"/>
      <c r="F29" s="2"/>
      <c r="G29" s="2"/>
      <c r="H29" s="40"/>
      <c r="J29" s="92" t="s">
        <v>29</v>
      </c>
      <c r="P29" s="88"/>
    </row>
    <row r="30" spans="2:16" x14ac:dyDescent="0.25">
      <c r="B30" s="39"/>
      <c r="C30" s="2"/>
      <c r="D30" s="2"/>
      <c r="E30" s="2"/>
      <c r="F30" s="2"/>
      <c r="G30" s="2"/>
      <c r="H30" s="40"/>
      <c r="J30" s="128" t="s">
        <v>30</v>
      </c>
      <c r="K30" s="129"/>
      <c r="P30" s="88"/>
    </row>
    <row r="31" spans="2:16" x14ac:dyDescent="0.25">
      <c r="B31" s="39"/>
      <c r="C31" s="2"/>
      <c r="D31" s="2"/>
      <c r="E31" s="2"/>
      <c r="F31" s="2"/>
      <c r="G31" s="2"/>
      <c r="H31" s="40"/>
      <c r="J31" s="128" t="s">
        <v>31</v>
      </c>
      <c r="K31" s="129"/>
      <c r="P31" s="88"/>
    </row>
    <row r="32" spans="2:16" x14ac:dyDescent="0.25">
      <c r="B32" s="39"/>
      <c r="C32" s="2"/>
      <c r="D32" s="2"/>
      <c r="E32" s="2"/>
      <c r="F32" s="2"/>
      <c r="G32" s="2"/>
      <c r="H32" s="40"/>
      <c r="J32" s="92"/>
      <c r="P32" s="88" t="s">
        <v>124</v>
      </c>
    </row>
    <row r="33" spans="2:16" ht="20.25" customHeight="1" thickBot="1" x14ac:dyDescent="0.3">
      <c r="B33" s="39"/>
      <c r="C33" s="2"/>
      <c r="D33" s="2"/>
      <c r="E33" s="2"/>
      <c r="F33" s="2"/>
      <c r="G33" s="2"/>
      <c r="H33" s="40"/>
      <c r="J33" s="97" t="s">
        <v>32</v>
      </c>
      <c r="K33" s="98"/>
      <c r="L33" s="98"/>
      <c r="M33" s="98"/>
      <c r="N33" s="98"/>
      <c r="O33" s="98"/>
      <c r="P33" s="99" t="str">
        <f>+IF(L33="","",VLOOKUP(L33,Sheet2!$A$13:$B$23,2,FALSE))</f>
        <v/>
      </c>
    </row>
    <row r="34" spans="2:16" ht="16.5" customHeight="1" x14ac:dyDescent="0.25">
      <c r="B34" s="82" t="s">
        <v>301</v>
      </c>
      <c r="C34" s="83" t="s">
        <v>308</v>
      </c>
      <c r="D34" s="84" t="s">
        <v>302</v>
      </c>
      <c r="E34" s="83" t="s">
        <v>303</v>
      </c>
      <c r="F34" s="84" t="s">
        <v>309</v>
      </c>
      <c r="G34" s="83" t="s">
        <v>304</v>
      </c>
      <c r="H34" s="84" t="s">
        <v>307</v>
      </c>
      <c r="I34" s="100"/>
      <c r="J34" s="83" t="s">
        <v>314</v>
      </c>
      <c r="K34" s="84" t="s">
        <v>315</v>
      </c>
      <c r="L34" s="83" t="s">
        <v>316</v>
      </c>
      <c r="M34" s="84" t="s">
        <v>317</v>
      </c>
      <c r="N34" s="83" t="s">
        <v>318</v>
      </c>
      <c r="O34" s="84" t="s">
        <v>319</v>
      </c>
      <c r="P34" s="88" t="s">
        <v>124</v>
      </c>
    </row>
    <row r="35" spans="2:16" ht="20.25" customHeight="1" thickBot="1" x14ac:dyDescent="0.3">
      <c r="B35" s="85" t="s">
        <v>300</v>
      </c>
      <c r="C35" s="86"/>
      <c r="D35" s="87"/>
      <c r="E35" s="86"/>
      <c r="F35" s="87"/>
      <c r="G35" s="86"/>
      <c r="H35" s="87"/>
      <c r="I35" s="101"/>
      <c r="J35" s="105" t="str">
        <f>+IF(C35="","",VLOOKUP(C35,Sheet2!$F$10:$G$15,2,TRUE))</f>
        <v/>
      </c>
      <c r="K35" s="105" t="str">
        <f>+IF(D35="","",VLOOKUP(D35,Sheet2!$F$10:$G$15,2,TRUE))</f>
        <v/>
      </c>
      <c r="L35" s="105" t="str">
        <f>+IF(E35="","",VLOOKUP(E35,Sheet2!$F$18:$G$23,2,TRUE))</f>
        <v/>
      </c>
      <c r="M35" s="105" t="str">
        <f>+IF(F35="","",VLOOKUP(F35,Sheet2!$F$18:$G$23,2,TRUE))</f>
        <v/>
      </c>
      <c r="N35" s="105" t="str">
        <f>+IF(G35="","",VLOOKUP(G35,Sheet2!$F$26:$G$31,2,TRUE))</f>
        <v/>
      </c>
      <c r="O35" s="105" t="str">
        <f>+IF(H35="","",VLOOKUP(H35,Sheet2!$F$26:$G$31,2,TRUE))</f>
        <v/>
      </c>
      <c r="P35" s="107" t="str">
        <f>+IF(J35="","",0.05*J35+0.05*K35+0.15*L35+0.15*M35+0.3*N35+0.3*O35)</f>
        <v/>
      </c>
    </row>
    <row r="36" spans="2:16" ht="23.25" customHeight="1" x14ac:dyDescent="0.25">
      <c r="B36" s="125" t="s">
        <v>44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7"/>
    </row>
    <row r="37" spans="2:16" ht="20.25" customHeight="1" thickBot="1" x14ac:dyDescent="0.3">
      <c r="B37" s="168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70"/>
    </row>
    <row r="38" spans="2:16" x14ac:dyDescent="0.25">
      <c r="B38" s="46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2"/>
    </row>
    <row r="39" spans="2:16" x14ac:dyDescent="0.25">
      <c r="B39" s="65"/>
      <c r="C39" s="63" t="s">
        <v>51</v>
      </c>
      <c r="D39" s="64">
        <v>2025</v>
      </c>
      <c r="E39" s="64">
        <f>+D39-1</f>
        <v>2024</v>
      </c>
      <c r="F39" s="64">
        <f t="shared" ref="F39:H39" si="0">+E39-1</f>
        <v>2023</v>
      </c>
      <c r="G39" s="64">
        <f t="shared" si="0"/>
        <v>2022</v>
      </c>
      <c r="H39" s="64">
        <f t="shared" si="0"/>
        <v>2021</v>
      </c>
      <c r="I39" s="64"/>
      <c r="J39" s="64" t="s">
        <v>38</v>
      </c>
      <c r="K39" s="120" t="s">
        <v>40</v>
      </c>
      <c r="L39" s="120"/>
      <c r="M39" s="120"/>
      <c r="N39" s="120"/>
      <c r="O39" s="120"/>
      <c r="P39" s="60" t="s">
        <v>124</v>
      </c>
    </row>
    <row r="40" spans="2:16" x14ac:dyDescent="0.25">
      <c r="B40" s="29" t="s">
        <v>86</v>
      </c>
      <c r="D40" s="7"/>
      <c r="E40" s="7"/>
      <c r="F40" s="7"/>
      <c r="G40" s="7"/>
      <c r="H40" s="7"/>
      <c r="I40" s="7"/>
      <c r="J40" s="7"/>
      <c r="K40" s="121" t="str">
        <f>+IF(D41="","",IF(D40&lt;0,Sheet2!$C$27,VLOOKUP(D41,Sheet2!$A$27:$C$31,3,TRUE)))</f>
        <v/>
      </c>
      <c r="L40" s="121"/>
      <c r="M40" s="121"/>
      <c r="N40" s="121"/>
      <c r="O40" s="121"/>
      <c r="P40" s="28" t="str">
        <f>+IF(K40="","",VLOOKUP(K40,Sheet2!$C$27:$D$31,2,FALSE))</f>
        <v/>
      </c>
    </row>
    <row r="41" spans="2:16" x14ac:dyDescent="0.25">
      <c r="B41" s="47" t="s">
        <v>39</v>
      </c>
      <c r="D41" s="5" t="str">
        <f>+IF(OR(E40="",D40="",),"",(D40-E40)/E40)</f>
        <v/>
      </c>
      <c r="E41" s="5" t="str">
        <f t="shared" ref="E41:F41" si="1">+IF(OR(F40="",E40="",),"",(E40-F40)/F40)</f>
        <v/>
      </c>
      <c r="F41" s="5" t="str">
        <f t="shared" si="1"/>
        <v/>
      </c>
      <c r="G41" s="5" t="str">
        <f>+IF(OR(H40="",G40="",),"",(G40-H40)/H40)</f>
        <v/>
      </c>
      <c r="H41" s="7"/>
      <c r="I41" s="7"/>
      <c r="J41" s="5" t="str">
        <f>+IF(D41="","",AVERAGE(D41:G41))</f>
        <v/>
      </c>
      <c r="K41" s="121" t="str">
        <f>+IF(J41="","",IF(AND(D40&lt;0,E40&lt;0),Sheet2!$C$35,VLOOKUP(J41,Sheet2!$A$35:$C$39,3,TRUE)))</f>
        <v/>
      </c>
      <c r="L41" s="121"/>
      <c r="M41" s="121"/>
      <c r="N41" s="121"/>
      <c r="O41" s="121"/>
      <c r="P41" s="28" t="str">
        <f>+IF(K41="","",VLOOKUP(K41,Sheet2!$C$35:$D$39,2,FALSE))</f>
        <v/>
      </c>
    </row>
    <row r="42" spans="2:16" x14ac:dyDescent="0.25">
      <c r="B42" s="27"/>
      <c r="C42" s="3"/>
      <c r="D42" s="7"/>
      <c r="E42" s="7"/>
      <c r="F42" s="7"/>
      <c r="G42" s="7"/>
      <c r="H42" s="7"/>
      <c r="I42" s="7"/>
      <c r="J42" s="7"/>
      <c r="K42" s="121"/>
      <c r="L42" s="121"/>
      <c r="M42" s="121"/>
      <c r="N42" s="121"/>
      <c r="O42" s="121"/>
      <c r="P42" s="28"/>
    </row>
    <row r="43" spans="2:16" x14ac:dyDescent="0.25">
      <c r="B43" s="65"/>
      <c r="C43" s="63" t="s">
        <v>51</v>
      </c>
      <c r="D43" s="64">
        <f>+D39</f>
        <v>2025</v>
      </c>
      <c r="E43" s="64">
        <f t="shared" ref="E43:H43" si="2">+E39</f>
        <v>2024</v>
      </c>
      <c r="F43" s="64">
        <f t="shared" si="2"/>
        <v>2023</v>
      </c>
      <c r="G43" s="64">
        <f t="shared" si="2"/>
        <v>2022</v>
      </c>
      <c r="H43" s="64">
        <f t="shared" si="2"/>
        <v>2021</v>
      </c>
      <c r="I43" s="64"/>
      <c r="J43" s="64" t="s">
        <v>38</v>
      </c>
      <c r="K43" s="120" t="s">
        <v>40</v>
      </c>
      <c r="L43" s="120"/>
      <c r="M43" s="120"/>
      <c r="N43" s="120"/>
      <c r="O43" s="120"/>
      <c r="P43" s="60" t="s">
        <v>124</v>
      </c>
    </row>
    <row r="44" spans="2:16" x14ac:dyDescent="0.25">
      <c r="B44" s="29" t="s">
        <v>87</v>
      </c>
      <c r="D44" s="7"/>
      <c r="E44" s="7"/>
      <c r="F44" s="7"/>
      <c r="G44" s="7"/>
      <c r="H44" s="7"/>
      <c r="I44" s="7"/>
      <c r="J44" s="7"/>
      <c r="K44" s="121" t="str">
        <f>+IF(D45="","",IF(D44&lt;0,Sheet2!$C$27,VLOOKUP(D45,Sheet2!$A$27:$C$31,3,TRUE)))</f>
        <v/>
      </c>
      <c r="L44" s="121"/>
      <c r="M44" s="121"/>
      <c r="N44" s="121"/>
      <c r="O44" s="121"/>
      <c r="P44" s="28" t="str">
        <f>+IF(K44="","",VLOOKUP(K44,Sheet2!$C$27:$D$31,2,FALSE))</f>
        <v/>
      </c>
    </row>
    <row r="45" spans="2:16" x14ac:dyDescent="0.25">
      <c r="B45" s="47" t="s">
        <v>39</v>
      </c>
      <c r="D45" s="5" t="str">
        <f>+IF(OR(E44="",D44="",),"",(D44-E44)/E44)</f>
        <v/>
      </c>
      <c r="E45" s="5" t="str">
        <f t="shared" ref="E45" si="3">+IF(OR(F44="",E44="",),"",(E44-F44)/F44)</f>
        <v/>
      </c>
      <c r="F45" s="5" t="str">
        <f t="shared" ref="F45" si="4">+IF(OR(G44="",F44="",),"",(F44-G44)/G44)</f>
        <v/>
      </c>
      <c r="G45" s="5" t="str">
        <f>+IF(OR(H44="",G44="",),"",(G44-H44)/H44)</f>
        <v/>
      </c>
      <c r="H45" s="7"/>
      <c r="I45" s="7"/>
      <c r="J45" s="5" t="str">
        <f>+IF(D45="","",AVERAGE(D45:G45))</f>
        <v/>
      </c>
      <c r="K45" s="121" t="str">
        <f>+IF(J45="","",IF(AND(D44&lt;0,E44&lt;0),Sheet2!$C$35,VLOOKUP(J45,Sheet2!$A$35:$C$39,3,TRUE)))</f>
        <v/>
      </c>
      <c r="L45" s="121"/>
      <c r="M45" s="121"/>
      <c r="N45" s="121"/>
      <c r="O45" s="121"/>
      <c r="P45" s="28" t="str">
        <f>+IF(K45="","",VLOOKUP(K45,Sheet2!$C$35:$D$39,2,FALSE))</f>
        <v/>
      </c>
    </row>
    <row r="46" spans="2:16" x14ac:dyDescent="0.25">
      <c r="B46" s="27"/>
      <c r="C46" s="3"/>
      <c r="D46" s="7"/>
      <c r="E46" s="7"/>
      <c r="F46" s="7"/>
      <c r="G46" s="7"/>
      <c r="H46" s="7"/>
      <c r="I46" s="7"/>
      <c r="J46" s="7"/>
      <c r="P46" s="28"/>
    </row>
    <row r="47" spans="2:16" x14ac:dyDescent="0.25">
      <c r="B47" s="65"/>
      <c r="C47" s="63" t="s">
        <v>51</v>
      </c>
      <c r="D47" s="64">
        <f>+D39</f>
        <v>2025</v>
      </c>
      <c r="E47" s="64">
        <f t="shared" ref="E47:H47" si="5">+E39</f>
        <v>2024</v>
      </c>
      <c r="F47" s="64">
        <f t="shared" si="5"/>
        <v>2023</v>
      </c>
      <c r="G47" s="64">
        <f t="shared" si="5"/>
        <v>2022</v>
      </c>
      <c r="H47" s="64">
        <f t="shared" si="5"/>
        <v>2021</v>
      </c>
      <c r="I47" s="64"/>
      <c r="J47" s="64" t="s">
        <v>38</v>
      </c>
      <c r="K47" s="120"/>
      <c r="L47" s="120"/>
      <c r="M47" s="120"/>
      <c r="N47" s="120"/>
      <c r="O47" s="120"/>
      <c r="P47" s="60"/>
    </row>
    <row r="48" spans="2:16" x14ac:dyDescent="0.25">
      <c r="B48" s="29" t="s">
        <v>88</v>
      </c>
      <c r="D48" s="7"/>
      <c r="E48" s="7"/>
      <c r="F48" s="7"/>
      <c r="G48" s="7"/>
      <c r="H48" s="7"/>
      <c r="I48" s="7"/>
      <c r="J48" s="7"/>
      <c r="K48" s="121"/>
      <c r="L48" s="121"/>
      <c r="M48" s="121"/>
      <c r="N48" s="121"/>
      <c r="O48" s="121"/>
      <c r="P48" s="28"/>
    </row>
    <row r="49" spans="2:16" x14ac:dyDescent="0.25">
      <c r="B49" s="47" t="s">
        <v>39</v>
      </c>
      <c r="D49" s="5" t="str">
        <f>+IF(OR(E48="",D48="",),"",(D48-E48)/E48)</f>
        <v/>
      </c>
      <c r="E49" s="5" t="str">
        <f t="shared" ref="E49" si="6">+IF(OR(F48="",E48="",),"",(E48-F48)/F48)</f>
        <v/>
      </c>
      <c r="F49" s="5" t="str">
        <f t="shared" ref="F49" si="7">+IF(OR(G48="",F48="",),"",(F48-G48)/G48)</f>
        <v/>
      </c>
      <c r="G49" s="5" t="str">
        <f>+IF(OR(H48="",G48="",),"",(G48-H48)/H48)</f>
        <v/>
      </c>
      <c r="H49" s="7"/>
      <c r="I49" s="7"/>
      <c r="J49" s="5" t="str">
        <f>+IF(D49="","",AVERAGE(D49:G49))</f>
        <v/>
      </c>
      <c r="K49" s="121"/>
      <c r="L49" s="121"/>
      <c r="M49" s="121"/>
      <c r="N49" s="121"/>
      <c r="O49" s="121"/>
      <c r="P49" s="28"/>
    </row>
    <row r="50" spans="2:16" x14ac:dyDescent="0.25">
      <c r="B50" s="27"/>
      <c r="C50" s="3"/>
      <c r="D50" s="7"/>
      <c r="E50" s="7"/>
      <c r="F50" s="7"/>
      <c r="G50" s="7"/>
      <c r="H50" s="7"/>
      <c r="I50" s="7"/>
      <c r="J50" s="7"/>
      <c r="P50" s="28"/>
    </row>
    <row r="51" spans="2:16" x14ac:dyDescent="0.25">
      <c r="B51" s="65"/>
      <c r="C51" s="63" t="s">
        <v>51</v>
      </c>
      <c r="D51" s="64">
        <f>+D39</f>
        <v>2025</v>
      </c>
      <c r="E51" s="64">
        <f t="shared" ref="E51:H51" si="8">+E39</f>
        <v>2024</v>
      </c>
      <c r="F51" s="64">
        <f t="shared" si="8"/>
        <v>2023</v>
      </c>
      <c r="G51" s="64">
        <f t="shared" si="8"/>
        <v>2022</v>
      </c>
      <c r="H51" s="64">
        <f t="shared" si="8"/>
        <v>2021</v>
      </c>
      <c r="I51" s="64"/>
      <c r="J51" s="64" t="s">
        <v>38</v>
      </c>
      <c r="K51" s="120"/>
      <c r="L51" s="120"/>
      <c r="M51" s="120"/>
      <c r="N51" s="120"/>
      <c r="O51" s="120"/>
      <c r="P51" s="60"/>
    </row>
    <row r="52" spans="2:16" x14ac:dyDescent="0.25">
      <c r="B52" s="29" t="s">
        <v>89</v>
      </c>
      <c r="D52" s="7"/>
      <c r="E52" s="7"/>
      <c r="F52" s="7"/>
      <c r="G52" s="7"/>
      <c r="H52" s="7"/>
      <c r="I52" s="7"/>
      <c r="J52" s="7"/>
      <c r="P52" s="28"/>
    </row>
    <row r="53" spans="2:16" x14ac:dyDescent="0.25">
      <c r="B53" s="47" t="s">
        <v>39</v>
      </c>
      <c r="D53" s="5" t="str">
        <f>+IF(OR(E52="",D52="",),"",(D52-E52)/E52)</f>
        <v/>
      </c>
      <c r="E53" s="5" t="str">
        <f t="shared" ref="E53" si="9">+IF(OR(F52="",E52="",),"",(E52-F52)/F52)</f>
        <v/>
      </c>
      <c r="F53" s="5" t="str">
        <f t="shared" ref="F53" si="10">+IF(OR(G52="",F52="",),"",(F52-G52)/G52)</f>
        <v/>
      </c>
      <c r="G53" s="5" t="str">
        <f>+IF(OR(H52="",G52="",),"",(G52-H52)/H52)</f>
        <v/>
      </c>
      <c r="H53" s="7"/>
      <c r="I53" s="7"/>
      <c r="J53" s="5" t="str">
        <f>+IF(D53="","",AVERAGE(D53:G53))</f>
        <v/>
      </c>
      <c r="P53" s="28"/>
    </row>
    <row r="54" spans="2:16" x14ac:dyDescent="0.25">
      <c r="B54" s="27"/>
      <c r="C54" s="3"/>
      <c r="D54" s="7"/>
      <c r="E54" s="7"/>
      <c r="F54" s="7"/>
      <c r="G54" s="7"/>
      <c r="H54" s="7"/>
      <c r="I54" s="7"/>
      <c r="J54" s="7"/>
      <c r="P54" s="28"/>
    </row>
    <row r="55" spans="2:16" x14ac:dyDescent="0.25">
      <c r="B55" s="65"/>
      <c r="C55" s="63" t="s">
        <v>51</v>
      </c>
      <c r="D55" s="64">
        <f>+D39</f>
        <v>2025</v>
      </c>
      <c r="E55" s="64">
        <f t="shared" ref="E55:H55" si="11">+E39</f>
        <v>2024</v>
      </c>
      <c r="F55" s="64">
        <f t="shared" si="11"/>
        <v>2023</v>
      </c>
      <c r="G55" s="64">
        <f t="shared" si="11"/>
        <v>2022</v>
      </c>
      <c r="H55" s="64">
        <f t="shared" si="11"/>
        <v>2021</v>
      </c>
      <c r="I55" s="64"/>
      <c r="J55" s="64" t="s">
        <v>38</v>
      </c>
      <c r="K55" s="120"/>
      <c r="L55" s="120"/>
      <c r="M55" s="120"/>
      <c r="N55" s="120"/>
      <c r="O55" s="120"/>
      <c r="P55" s="60"/>
    </row>
    <row r="56" spans="2:16" x14ac:dyDescent="0.25">
      <c r="B56" s="29" t="s">
        <v>90</v>
      </c>
      <c r="D56" s="7"/>
      <c r="E56" s="7"/>
      <c r="F56" s="7"/>
      <c r="G56" s="7"/>
      <c r="H56" s="7"/>
      <c r="I56" s="7"/>
      <c r="J56" s="7"/>
      <c r="P56" s="28"/>
    </row>
    <row r="57" spans="2:16" x14ac:dyDescent="0.25">
      <c r="B57" s="47" t="s">
        <v>39</v>
      </c>
      <c r="D57" s="5" t="str">
        <f>+IF(OR(E56="",D56="",),"",(D56-E56)/E56)</f>
        <v/>
      </c>
      <c r="E57" s="5" t="str">
        <f t="shared" ref="E57" si="12">+IF(OR(F56="",E56="",),"",(E56-F56)/F56)</f>
        <v/>
      </c>
      <c r="F57" s="5" t="str">
        <f t="shared" ref="F57" si="13">+IF(OR(G56="",F56="",),"",(F56-G56)/G56)</f>
        <v/>
      </c>
      <c r="G57" s="5" t="str">
        <f>+IF(OR(H56="",G56="",),"",(G56-H56)/H56)</f>
        <v/>
      </c>
      <c r="H57" s="7"/>
      <c r="I57" s="7"/>
      <c r="J57" s="5" t="str">
        <f>+IF(D57="","",AVERAGE(D57:G57))</f>
        <v/>
      </c>
      <c r="P57" s="28"/>
    </row>
    <row r="58" spans="2:16" x14ac:dyDescent="0.25">
      <c r="B58" s="27"/>
      <c r="C58" s="3"/>
      <c r="D58" s="7"/>
      <c r="E58" s="7"/>
      <c r="F58" s="7"/>
      <c r="G58" s="7"/>
      <c r="H58" s="7"/>
      <c r="I58" s="7"/>
      <c r="J58" s="7"/>
      <c r="P58" s="28"/>
    </row>
    <row r="59" spans="2:16" x14ac:dyDescent="0.25">
      <c r="B59" s="65"/>
      <c r="C59" s="63" t="s">
        <v>51</v>
      </c>
      <c r="D59" s="64">
        <f>+D39</f>
        <v>2025</v>
      </c>
      <c r="E59" s="64">
        <f t="shared" ref="E59:H59" si="14">+E39</f>
        <v>2024</v>
      </c>
      <c r="F59" s="64">
        <f t="shared" si="14"/>
        <v>2023</v>
      </c>
      <c r="G59" s="64">
        <f t="shared" si="14"/>
        <v>2022</v>
      </c>
      <c r="H59" s="64">
        <f t="shared" si="14"/>
        <v>2021</v>
      </c>
      <c r="I59" s="64"/>
      <c r="J59" s="64" t="s">
        <v>38</v>
      </c>
      <c r="K59" s="120" t="s">
        <v>40</v>
      </c>
      <c r="L59" s="120"/>
      <c r="M59" s="120"/>
      <c r="N59" s="120"/>
      <c r="O59" s="120"/>
      <c r="P59" s="60" t="s">
        <v>124</v>
      </c>
    </row>
    <row r="60" spans="2:16" x14ac:dyDescent="0.25">
      <c r="B60" s="29" t="s">
        <v>91</v>
      </c>
      <c r="D60" s="7"/>
      <c r="E60" s="7"/>
      <c r="F60" s="7"/>
      <c r="G60" s="7"/>
      <c r="H60" s="7"/>
      <c r="I60" s="7"/>
      <c r="J60" s="7"/>
      <c r="K60" s="121" t="str">
        <f>+IF(D61="","",IF(D60&lt;0,Sheet2!$C$27,VLOOKUP(D61,Sheet2!$A$27:$C$31,3,TRUE)))</f>
        <v/>
      </c>
      <c r="L60" s="121"/>
      <c r="M60" s="121"/>
      <c r="N60" s="121"/>
      <c r="O60" s="121"/>
      <c r="P60" s="28" t="str">
        <f>+IF(K60="","",VLOOKUP(K60,Sheet2!$C$27:$D$31,2,FALSE))</f>
        <v/>
      </c>
    </row>
    <row r="61" spans="2:16" x14ac:dyDescent="0.25">
      <c r="B61" s="47" t="s">
        <v>39</v>
      </c>
      <c r="D61" s="5" t="str">
        <f>+IF(OR(E60="",D60="",),"",(D60-E60)/E60)</f>
        <v/>
      </c>
      <c r="E61" s="5" t="str">
        <f t="shared" ref="E61" si="15">+IF(OR(F60="",E60="",),"",(E60-F60)/F60)</f>
        <v/>
      </c>
      <c r="F61" s="5" t="str">
        <f t="shared" ref="F61" si="16">+IF(OR(G60="",F60="",),"",(F60-G60)/G60)</f>
        <v/>
      </c>
      <c r="G61" s="5" t="str">
        <f>+IF(OR(H60="",G60="",),"",(G60-H60)/H60)</f>
        <v/>
      </c>
      <c r="H61" s="7"/>
      <c r="I61" s="7"/>
      <c r="J61" s="5" t="str">
        <f>+IF(D61="","",AVERAGE(D61:G61))</f>
        <v/>
      </c>
      <c r="K61" s="121" t="str">
        <f>+IF(J61="","",IF(AND(D60&lt;0,E60&lt;0),Sheet2!$C$35,VLOOKUP(J61,Sheet2!$A$35:$C$39,3,TRUE)))</f>
        <v/>
      </c>
      <c r="L61" s="121"/>
      <c r="M61" s="121"/>
      <c r="N61" s="121"/>
      <c r="O61" s="121"/>
      <c r="P61" s="28" t="str">
        <f>+IF(K61="","",VLOOKUP(K61,Sheet2!$C$35:$D$39,2,FALSE))</f>
        <v/>
      </c>
    </row>
    <row r="62" spans="2:16" x14ac:dyDescent="0.25">
      <c r="B62" s="27"/>
      <c r="C62" s="3"/>
      <c r="D62" s="7"/>
      <c r="E62" s="7"/>
      <c r="F62" s="7"/>
      <c r="G62" s="7"/>
      <c r="H62" s="7"/>
      <c r="I62" s="7"/>
      <c r="J62" s="7"/>
      <c r="P62" s="28"/>
    </row>
    <row r="63" spans="2:16" x14ac:dyDescent="0.25">
      <c r="B63" s="65"/>
      <c r="C63" s="63" t="s">
        <v>51</v>
      </c>
      <c r="D63" s="64">
        <f>+D39</f>
        <v>2025</v>
      </c>
      <c r="E63" s="64">
        <f>+E39</f>
        <v>2024</v>
      </c>
      <c r="F63" s="64">
        <f>+F39</f>
        <v>2023</v>
      </c>
      <c r="G63" s="64">
        <f>+G39</f>
        <v>2022</v>
      </c>
      <c r="H63" s="64">
        <f>+H39</f>
        <v>2021</v>
      </c>
      <c r="I63" s="64"/>
      <c r="J63" s="64" t="s">
        <v>38</v>
      </c>
      <c r="K63" s="120" t="s">
        <v>40</v>
      </c>
      <c r="L63" s="120"/>
      <c r="M63" s="120"/>
      <c r="N63" s="120"/>
      <c r="O63" s="120"/>
      <c r="P63" s="60" t="s">
        <v>124</v>
      </c>
    </row>
    <row r="64" spans="2:16" x14ac:dyDescent="0.25">
      <c r="B64" s="29" t="s">
        <v>92</v>
      </c>
      <c r="D64" s="7"/>
      <c r="E64" s="7"/>
      <c r="F64" s="7"/>
      <c r="G64" s="7"/>
      <c r="H64" s="7"/>
      <c r="I64" s="7"/>
      <c r="J64" s="7"/>
      <c r="K64" s="121" t="str">
        <f>+IF(D65="","",IF(D64&lt;0,Sheet2!$C$27,VLOOKUP(D65,Sheet2!$A$27:$C$31,3,TRUE)))</f>
        <v/>
      </c>
      <c r="L64" s="121"/>
      <c r="M64" s="121"/>
      <c r="N64" s="121"/>
      <c r="O64" s="121"/>
      <c r="P64" s="28" t="str">
        <f>+IF(K64="","",VLOOKUP(K64,Sheet2!$C$27:$D$31,2,FALSE))</f>
        <v/>
      </c>
    </row>
    <row r="65" spans="2:16" x14ac:dyDescent="0.25">
      <c r="B65" s="47" t="s">
        <v>39</v>
      </c>
      <c r="D65" s="5" t="str">
        <f>+IF(OR(E64="",D64="",),"",(D64-E64)/E64)</f>
        <v/>
      </c>
      <c r="E65" s="5" t="str">
        <f t="shared" ref="E65" si="17">+IF(OR(F64="",E64="",),"",(E64-F64)/F64)</f>
        <v/>
      </c>
      <c r="F65" s="5" t="str">
        <f t="shared" ref="F65" si="18">+IF(OR(G64="",F64="",),"",(F64-G64)/G64)</f>
        <v/>
      </c>
      <c r="G65" s="5" t="str">
        <f>+IF(OR(H64="",G64="",),"",(G64-H64)/H64)</f>
        <v/>
      </c>
      <c r="H65" s="7"/>
      <c r="I65" s="7"/>
      <c r="J65" s="5" t="str">
        <f>+IF(D65="","",AVERAGE(D65:G65))</f>
        <v/>
      </c>
      <c r="K65" s="121" t="str">
        <f>+IF(J65="","",IF(AND(D64&lt;0,E64&lt;0),Sheet2!$C$35,VLOOKUP(J65,Sheet2!$A$35:$C$39,3,TRUE)))</f>
        <v/>
      </c>
      <c r="L65" s="121"/>
      <c r="M65" s="121"/>
      <c r="N65" s="121"/>
      <c r="O65" s="121"/>
      <c r="P65" s="28" t="str">
        <f>+IF(K65="","",VLOOKUP(K65,Sheet2!$C$35:$D$39,2,FALSE))</f>
        <v/>
      </c>
    </row>
    <row r="66" spans="2:16" x14ac:dyDescent="0.25">
      <c r="B66" s="27"/>
      <c r="C66" s="3"/>
      <c r="D66" s="7"/>
      <c r="E66" s="7"/>
      <c r="F66" s="7"/>
      <c r="G66" s="7"/>
      <c r="H66" s="7"/>
      <c r="I66" s="7"/>
      <c r="J66" s="7"/>
      <c r="P66" s="28"/>
    </row>
    <row r="67" spans="2:16" x14ac:dyDescent="0.25">
      <c r="B67" s="65"/>
      <c r="C67" s="63" t="s">
        <v>51</v>
      </c>
      <c r="D67" s="64">
        <f>+D39</f>
        <v>2025</v>
      </c>
      <c r="E67" s="64">
        <f>+E39</f>
        <v>2024</v>
      </c>
      <c r="F67" s="64">
        <f>+F39</f>
        <v>2023</v>
      </c>
      <c r="G67" s="64">
        <f>+G39</f>
        <v>2022</v>
      </c>
      <c r="H67" s="64">
        <f>+H39</f>
        <v>2021</v>
      </c>
      <c r="I67" s="64"/>
      <c r="J67" s="64" t="s">
        <v>38</v>
      </c>
      <c r="K67" s="120" t="s">
        <v>40</v>
      </c>
      <c r="L67" s="120"/>
      <c r="M67" s="120"/>
      <c r="N67" s="120"/>
      <c r="O67" s="120"/>
      <c r="P67" s="60" t="s">
        <v>124</v>
      </c>
    </row>
    <row r="68" spans="2:16" x14ac:dyDescent="0.25">
      <c r="B68" s="29" t="s">
        <v>93</v>
      </c>
      <c r="D68" s="7"/>
      <c r="E68" s="7"/>
      <c r="F68" s="7"/>
      <c r="G68" s="7"/>
      <c r="H68" s="7"/>
      <c r="I68" s="7"/>
      <c r="J68" s="7"/>
      <c r="K68" s="121" t="str">
        <f>+IF(D69="","",IF(D68&lt;0,Sheet2!$C$27,VLOOKUP(D69,Sheet2!$A$27:$C$31,3,TRUE)))</f>
        <v/>
      </c>
      <c r="L68" s="121"/>
      <c r="M68" s="121"/>
      <c r="N68" s="121"/>
      <c r="O68" s="121"/>
      <c r="P68" s="28" t="str">
        <f>+IF(K68="","",VLOOKUP(K68,Sheet2!$C$27:$D$31,2,FALSE))</f>
        <v/>
      </c>
    </row>
    <row r="69" spans="2:16" x14ac:dyDescent="0.25">
      <c r="B69" s="47" t="s">
        <v>39</v>
      </c>
      <c r="D69" s="5" t="str">
        <f>+IF(OR(E68="",D68="",),"",(D68-E68)/E68)</f>
        <v/>
      </c>
      <c r="E69" s="5" t="str">
        <f t="shared" ref="E69" si="19">+IF(OR(F68="",E68="",),"",(E68-F68)/F68)</f>
        <v/>
      </c>
      <c r="F69" s="5" t="str">
        <f t="shared" ref="F69" si="20">+IF(OR(G68="",F68="",),"",(F68-G68)/G68)</f>
        <v/>
      </c>
      <c r="G69" s="5" t="str">
        <f>+IF(OR(H68="",G68="",),"",(G68-H68)/H68)</f>
        <v/>
      </c>
      <c r="H69" s="7"/>
      <c r="I69" s="7"/>
      <c r="J69" s="5" t="str">
        <f>+IF(D69="","",AVERAGE(D69:G69))</f>
        <v/>
      </c>
      <c r="K69" s="121" t="str">
        <f>+IF(J69="","",IF(AND(D68&lt;0,E68&lt;0),Sheet2!$C$35,VLOOKUP(J69,Sheet2!$A$35:$C$39,3,TRUE)))</f>
        <v/>
      </c>
      <c r="L69" s="121"/>
      <c r="M69" s="121"/>
      <c r="N69" s="121"/>
      <c r="O69" s="121"/>
      <c r="P69" s="28" t="str">
        <f>+IF(K69="","",VLOOKUP(K69,Sheet2!$C$35:$D$39,2,FALSE))</f>
        <v/>
      </c>
    </row>
    <row r="70" spans="2:16" x14ac:dyDescent="0.25">
      <c r="B70" s="27"/>
      <c r="C70" s="3"/>
      <c r="D70" s="7"/>
      <c r="E70" s="7"/>
      <c r="F70" s="7"/>
      <c r="G70" s="7"/>
      <c r="H70" s="7"/>
      <c r="I70" s="7"/>
      <c r="J70" s="7"/>
      <c r="P70" s="28"/>
    </row>
    <row r="71" spans="2:16" x14ac:dyDescent="0.25">
      <c r="B71" s="65"/>
      <c r="C71" s="63" t="s">
        <v>51</v>
      </c>
      <c r="D71" s="64">
        <f>+D39</f>
        <v>2025</v>
      </c>
      <c r="E71" s="64">
        <f>+E39</f>
        <v>2024</v>
      </c>
      <c r="F71" s="64">
        <f>+F39</f>
        <v>2023</v>
      </c>
      <c r="G71" s="64">
        <f>+G39</f>
        <v>2022</v>
      </c>
      <c r="H71" s="64">
        <f>+H39</f>
        <v>2021</v>
      </c>
      <c r="I71" s="64"/>
      <c r="J71" s="64" t="s">
        <v>38</v>
      </c>
      <c r="K71" s="120"/>
      <c r="L71" s="120"/>
      <c r="M71" s="120"/>
      <c r="N71" s="120"/>
      <c r="O71" s="120"/>
      <c r="P71" s="60"/>
    </row>
    <row r="72" spans="2:16" x14ac:dyDescent="0.25">
      <c r="B72" s="29" t="s">
        <v>94</v>
      </c>
      <c r="D72" s="7"/>
      <c r="E72" s="7"/>
      <c r="F72" s="7"/>
      <c r="G72" s="7"/>
      <c r="H72" s="7"/>
      <c r="I72" s="7"/>
      <c r="J72" s="7"/>
      <c r="P72" s="28"/>
    </row>
    <row r="73" spans="2:16" x14ac:dyDescent="0.25">
      <c r="B73" s="47" t="s">
        <v>122</v>
      </c>
      <c r="D73" s="5" t="str">
        <f>+IF(D64="","",D72/D64)</f>
        <v/>
      </c>
      <c r="E73" s="5" t="str">
        <f t="shared" ref="E73:H73" si="21">+IF(E64="","",E72/E64)</f>
        <v/>
      </c>
      <c r="F73" s="5" t="str">
        <f t="shared" si="21"/>
        <v/>
      </c>
      <c r="G73" s="5" t="str">
        <f t="shared" si="21"/>
        <v/>
      </c>
      <c r="H73" s="5" t="str">
        <f t="shared" si="21"/>
        <v/>
      </c>
      <c r="I73" s="7"/>
      <c r="J73" s="5" t="str">
        <f>+IF(D73="","",AVERAGE(D73:G73))</f>
        <v/>
      </c>
      <c r="P73" s="28"/>
    </row>
    <row r="74" spans="2:16" x14ac:dyDescent="0.25">
      <c r="B74" s="27"/>
      <c r="C74" s="3"/>
      <c r="D74" s="7"/>
      <c r="E74" s="7"/>
      <c r="F74" s="7"/>
      <c r="G74" s="7"/>
      <c r="H74" s="7"/>
      <c r="I74" s="7"/>
      <c r="J74" s="7"/>
      <c r="P74" s="28"/>
    </row>
    <row r="75" spans="2:16" x14ac:dyDescent="0.25">
      <c r="B75" s="65"/>
      <c r="C75" s="63" t="s">
        <v>51</v>
      </c>
      <c r="D75" s="64">
        <f>+D39</f>
        <v>2025</v>
      </c>
      <c r="E75" s="64">
        <f>+E39</f>
        <v>2024</v>
      </c>
      <c r="F75" s="64">
        <f>+F39</f>
        <v>2023</v>
      </c>
      <c r="G75" s="64">
        <f>+G39</f>
        <v>2022</v>
      </c>
      <c r="H75" s="64">
        <f>+H39</f>
        <v>2021</v>
      </c>
      <c r="I75" s="64"/>
      <c r="J75" s="64" t="s">
        <v>38</v>
      </c>
      <c r="K75" s="120"/>
      <c r="L75" s="120"/>
      <c r="M75" s="120"/>
      <c r="N75" s="120"/>
      <c r="O75" s="120"/>
      <c r="P75" s="60"/>
    </row>
    <row r="76" spans="2:16" x14ac:dyDescent="0.25">
      <c r="B76" s="29" t="s">
        <v>95</v>
      </c>
      <c r="D76" s="7"/>
      <c r="E76" s="7"/>
      <c r="F76" s="7"/>
      <c r="G76" s="7"/>
      <c r="H76" s="7"/>
      <c r="I76" s="7"/>
      <c r="J76" s="7"/>
      <c r="P76" s="28"/>
    </row>
    <row r="77" spans="2:16" x14ac:dyDescent="0.25">
      <c r="B77" s="47" t="s">
        <v>39</v>
      </c>
      <c r="D77" s="5" t="str">
        <f>+IF(OR(E76="",D76="",),"",(D76-E76)/E76)</f>
        <v/>
      </c>
      <c r="E77" s="5" t="str">
        <f t="shared" ref="E77" si="22">+IF(OR(F76="",E76="",),"",(E76-F76)/F76)</f>
        <v/>
      </c>
      <c r="F77" s="5" t="str">
        <f t="shared" ref="F77" si="23">+IF(OR(G76="",F76="",),"",(F76-G76)/G76)</f>
        <v/>
      </c>
      <c r="G77" s="5" t="str">
        <f>+IF(OR(H76="",G76="",),"",(G76-H76)/H76)</f>
        <v/>
      </c>
      <c r="H77" s="7"/>
      <c r="I77" s="7"/>
      <c r="J77" s="5" t="str">
        <f>+IF(D77="","",AVERAGE(D77:G77))</f>
        <v/>
      </c>
      <c r="P77" s="28"/>
    </row>
    <row r="78" spans="2:16" ht="7.5" customHeight="1" x14ac:dyDescent="0.25">
      <c r="B78" s="27"/>
      <c r="C78" s="3"/>
      <c r="D78" s="7"/>
      <c r="E78" s="7"/>
      <c r="F78" s="7"/>
      <c r="G78" s="7"/>
      <c r="H78" s="7"/>
      <c r="I78" s="7"/>
      <c r="J78" s="7"/>
      <c r="P78" s="28"/>
    </row>
    <row r="79" spans="2:16" ht="14.25" customHeight="1" x14ac:dyDescent="0.25">
      <c r="B79" s="65"/>
      <c r="C79" s="63" t="s">
        <v>51</v>
      </c>
      <c r="D79" s="64">
        <f>+D39</f>
        <v>2025</v>
      </c>
      <c r="E79" s="64">
        <f>+E39</f>
        <v>2024</v>
      </c>
      <c r="F79" s="64">
        <f>+F39</f>
        <v>2023</v>
      </c>
      <c r="G79" s="64">
        <f>+G39</f>
        <v>2022</v>
      </c>
      <c r="H79" s="64">
        <f>+H39</f>
        <v>2021</v>
      </c>
      <c r="I79" s="64"/>
      <c r="J79" s="64" t="s">
        <v>38</v>
      </c>
      <c r="K79" s="120" t="s">
        <v>40</v>
      </c>
      <c r="L79" s="120"/>
      <c r="M79" s="120"/>
      <c r="N79" s="120"/>
      <c r="O79" s="120"/>
      <c r="P79" s="60" t="s">
        <v>124</v>
      </c>
    </row>
    <row r="80" spans="2:16" x14ac:dyDescent="0.25">
      <c r="B80" s="29" t="s">
        <v>96</v>
      </c>
      <c r="D80" s="7"/>
      <c r="E80" s="7"/>
      <c r="F80" s="7"/>
      <c r="G80" s="7"/>
      <c r="H80" s="7"/>
      <c r="I80" s="7"/>
      <c r="J80" s="7"/>
      <c r="K80" s="121" t="str">
        <f>+IF(D81="","",IF(D80&lt;0,Sheet2!$C$27,VLOOKUP(D81,Sheet2!$A$27:$C$31,3,TRUE)))</f>
        <v/>
      </c>
      <c r="L80" s="121"/>
      <c r="M80" s="121"/>
      <c r="N80" s="121"/>
      <c r="O80" s="121"/>
      <c r="P80" s="28" t="str">
        <f>+IF(K80="","",VLOOKUP(K80,Sheet2!$C$27:$D$31,2,FALSE))</f>
        <v/>
      </c>
    </row>
    <row r="81" spans="2:16" x14ac:dyDescent="0.25">
      <c r="B81" s="47" t="s">
        <v>39</v>
      </c>
      <c r="D81" s="5" t="str">
        <f>+IF(OR(E80="",D80="",),"",(D80-E80)/E80)</f>
        <v/>
      </c>
      <c r="E81" s="5" t="str">
        <f t="shared" ref="E81" si="24">+IF(OR(F80="",E80="",),"",(E80-F80)/F80)</f>
        <v/>
      </c>
      <c r="F81" s="5" t="str">
        <f t="shared" ref="F81" si="25">+IF(OR(G80="",F80="",),"",(F80-G80)/G80)</f>
        <v/>
      </c>
      <c r="G81" s="5" t="str">
        <f>+IF(OR(H80="",G80="",),"",(G80-H80)/H80)</f>
        <v/>
      </c>
      <c r="H81" s="7"/>
      <c r="I81" s="7"/>
      <c r="J81" s="5" t="str">
        <f>+IF(D81="","",AVERAGE(D81:G81))</f>
        <v/>
      </c>
      <c r="K81" s="121" t="str">
        <f>+IF(J81="","",IF(AND(D80&lt;0,E80&lt;0),Sheet2!$C$35,VLOOKUP(J81,Sheet2!$A$35:$C$39,3,TRUE)))</f>
        <v/>
      </c>
      <c r="L81" s="121"/>
      <c r="M81" s="121"/>
      <c r="N81" s="121"/>
      <c r="O81" s="121"/>
      <c r="P81" s="28" t="str">
        <f>+IF(K81="","",VLOOKUP(K81,Sheet2!$C$35:$D$39,2,FALSE))</f>
        <v/>
      </c>
    </row>
    <row r="82" spans="2:16" x14ac:dyDescent="0.25">
      <c r="B82" s="27"/>
      <c r="C82" s="3"/>
      <c r="D82" s="7"/>
      <c r="E82" s="7"/>
      <c r="F82" s="7"/>
      <c r="G82" s="7"/>
      <c r="H82" s="7"/>
      <c r="I82" s="7"/>
      <c r="J82" s="7"/>
      <c r="P82" s="28"/>
    </row>
    <row r="83" spans="2:16" x14ac:dyDescent="0.25">
      <c r="B83" s="65"/>
      <c r="C83" s="63" t="s">
        <v>51</v>
      </c>
      <c r="D83" s="64">
        <f>+D39</f>
        <v>2025</v>
      </c>
      <c r="E83" s="64">
        <f>+E39</f>
        <v>2024</v>
      </c>
      <c r="F83" s="64">
        <f>+F39</f>
        <v>2023</v>
      </c>
      <c r="G83" s="64">
        <f>+G39</f>
        <v>2022</v>
      </c>
      <c r="H83" s="64">
        <f>+H39</f>
        <v>2021</v>
      </c>
      <c r="I83" s="64"/>
      <c r="J83" s="64" t="s">
        <v>38</v>
      </c>
      <c r="K83" s="120" t="s">
        <v>40</v>
      </c>
      <c r="L83" s="120"/>
      <c r="M83" s="120"/>
      <c r="N83" s="120"/>
      <c r="O83" s="120"/>
      <c r="P83" s="60" t="s">
        <v>124</v>
      </c>
    </row>
    <row r="84" spans="2:16" x14ac:dyDescent="0.25">
      <c r="B84" s="29" t="s">
        <v>97</v>
      </c>
      <c r="D84" s="7"/>
      <c r="E84" s="7"/>
      <c r="F84" s="7"/>
      <c r="G84" s="7"/>
      <c r="H84" s="7"/>
      <c r="I84" s="7"/>
      <c r="J84" s="7"/>
      <c r="K84" s="121" t="str">
        <f>+IF(D85="","",VLOOKUP(D85,Sheet2!$A$42:$C$43,3,TRUE))</f>
        <v/>
      </c>
      <c r="L84" s="121"/>
      <c r="M84" s="121"/>
      <c r="N84" s="121"/>
      <c r="O84" s="121"/>
      <c r="P84" s="28" t="str">
        <f>+IF(K84="","",VLOOKUP(K84,Sheet2!$C$42:$D$43,2,FALSE))</f>
        <v/>
      </c>
    </row>
    <row r="85" spans="2:16" x14ac:dyDescent="0.25">
      <c r="B85" s="48" t="s">
        <v>43</v>
      </c>
      <c r="C85" s="26"/>
      <c r="D85" s="8" t="str">
        <f>+IF(D76="","",D76/(D80-2*D84))</f>
        <v/>
      </c>
      <c r="E85" s="8" t="str">
        <f t="shared" ref="E85:H85" si="26">+IF(E76="","",E76/(E80-2*E84))</f>
        <v/>
      </c>
      <c r="F85" s="8" t="str">
        <f t="shared" si="26"/>
        <v/>
      </c>
      <c r="G85" s="8" t="str">
        <f t="shared" si="26"/>
        <v/>
      </c>
      <c r="H85" s="8" t="str">
        <f t="shared" si="26"/>
        <v/>
      </c>
      <c r="I85" s="7"/>
      <c r="J85" s="20" t="str">
        <f>+IF(D85="","",AVERAGE(D85:G85))</f>
        <v/>
      </c>
      <c r="K85" s="121" t="str">
        <f>+IF(J85="","",VLOOKUP(J85,Sheet2!$A$45:$C$46,3,TRUE))</f>
        <v/>
      </c>
      <c r="L85" s="121"/>
      <c r="M85" s="121"/>
      <c r="N85" s="121"/>
      <c r="O85" s="121"/>
      <c r="P85" s="28" t="str">
        <f>+IF(K85="","",VLOOKUP(K85,Sheet2!$C$45:$D$46,2,FALSE))</f>
        <v/>
      </c>
    </row>
    <row r="86" spans="2:16" x14ac:dyDescent="0.25">
      <c r="B86" s="47" t="s">
        <v>39</v>
      </c>
      <c r="D86" s="5" t="str">
        <f>+IF(OR(E85="",D85="",),"",(D85-E85)/E85)</f>
        <v/>
      </c>
      <c r="E86" s="5" t="str">
        <f t="shared" ref="E86" si="27">+IF(OR(F85="",E85="",),"",(E85-F85)/F85)</f>
        <v/>
      </c>
      <c r="F86" s="5" t="str">
        <f t="shared" ref="F86" si="28">+IF(OR(G85="",F85="",),"",(F85-G85)/G85)</f>
        <v/>
      </c>
      <c r="G86" s="5" t="str">
        <f>+IF(OR(H85="",G85="",),"",(G85-H85)/H85)</f>
        <v/>
      </c>
      <c r="H86" s="7"/>
      <c r="I86" s="7"/>
      <c r="J86" s="5" t="str">
        <f>+IF(D86="","",AVERAGE(D86:G86))</f>
        <v/>
      </c>
      <c r="P86" s="28"/>
    </row>
    <row r="87" spans="2:16" x14ac:dyDescent="0.25">
      <c r="B87" s="27"/>
      <c r="C87" s="3"/>
      <c r="D87" s="7"/>
      <c r="E87" s="7"/>
      <c r="F87" s="7"/>
      <c r="G87" s="7"/>
      <c r="H87" s="7"/>
      <c r="I87" s="7"/>
      <c r="J87" s="7"/>
      <c r="P87" s="28"/>
    </row>
    <row r="88" spans="2:16" x14ac:dyDescent="0.25">
      <c r="B88" s="65"/>
      <c r="C88" s="63" t="s">
        <v>51</v>
      </c>
      <c r="D88" s="64">
        <f>+D39</f>
        <v>2025</v>
      </c>
      <c r="E88" s="64">
        <f>+E39</f>
        <v>2024</v>
      </c>
      <c r="F88" s="64">
        <f>+F39</f>
        <v>2023</v>
      </c>
      <c r="G88" s="64">
        <f>+G39</f>
        <v>2022</v>
      </c>
      <c r="H88" s="64">
        <f>+H39</f>
        <v>2021</v>
      </c>
      <c r="I88" s="64"/>
      <c r="J88" s="64" t="s">
        <v>38</v>
      </c>
      <c r="K88" s="120" t="s">
        <v>40</v>
      </c>
      <c r="L88" s="120"/>
      <c r="M88" s="120"/>
      <c r="N88" s="120"/>
      <c r="O88" s="120"/>
      <c r="P88" s="60" t="s">
        <v>124</v>
      </c>
    </row>
    <row r="89" spans="2:16" x14ac:dyDescent="0.25">
      <c r="B89" s="29" t="s">
        <v>98</v>
      </c>
      <c r="D89" s="7"/>
      <c r="E89" s="7"/>
      <c r="F89" s="7"/>
      <c r="G89" s="7"/>
      <c r="H89" s="7"/>
      <c r="I89" s="7"/>
      <c r="J89" s="7"/>
      <c r="P89" s="28"/>
    </row>
    <row r="90" spans="2:16" x14ac:dyDescent="0.25">
      <c r="B90" s="29" t="s">
        <v>99</v>
      </c>
      <c r="C90" s="3"/>
      <c r="D90" s="7" t="str">
        <f>+IF(D89="","",D89-E89)</f>
        <v/>
      </c>
      <c r="E90" s="7" t="str">
        <f t="shared" ref="E90:G90" si="29">+IF(E89="","",E89-F89)</f>
        <v/>
      </c>
      <c r="F90" s="7" t="str">
        <f t="shared" si="29"/>
        <v/>
      </c>
      <c r="G90" s="7" t="str">
        <f t="shared" si="29"/>
        <v/>
      </c>
      <c r="H90" s="7"/>
      <c r="I90" s="7"/>
      <c r="J90" s="7"/>
      <c r="K90" s="121" t="str">
        <f>+IF(D91="","",IF(D89&lt;0,Sheet2!$C$50,VLOOKUP(D91,Sheet2!A50:C54,3,TRUE)))</f>
        <v/>
      </c>
      <c r="L90" s="121"/>
      <c r="M90" s="121"/>
      <c r="N90" s="121"/>
      <c r="O90" s="121"/>
      <c r="P90" s="28" t="str">
        <f>+IF(K90="","",VLOOKUP(K90,Sheet2!$C$50:$D$54,2,FALSE))</f>
        <v/>
      </c>
    </row>
    <row r="91" spans="2:16" x14ac:dyDescent="0.25">
      <c r="B91" s="47" t="s">
        <v>39</v>
      </c>
      <c r="D91" s="5" t="str">
        <f>+IF(D90="","",D90/E89)</f>
        <v/>
      </c>
      <c r="E91" s="5" t="str">
        <f t="shared" ref="E91:G91" si="30">+IF(E90="","",E90/F89)</f>
        <v/>
      </c>
      <c r="F91" s="5" t="str">
        <f t="shared" si="30"/>
        <v/>
      </c>
      <c r="G91" s="5" t="str">
        <f t="shared" si="30"/>
        <v/>
      </c>
      <c r="H91" s="7"/>
      <c r="I91" s="7"/>
      <c r="J91" s="5" t="str">
        <f>+IF(D91="","",AVERAGE(D91:G91))</f>
        <v/>
      </c>
      <c r="K91" s="121" t="str">
        <f>+IF(J91="","",IF(AND(C89&lt;0,D89&lt;0),Sheet2!$C$56,VLOOKUP(J91,Sheet2!$A$56:$C$60,3,TRUE)))</f>
        <v/>
      </c>
      <c r="L91" s="121"/>
      <c r="M91" s="121"/>
      <c r="N91" s="121"/>
      <c r="O91" s="121"/>
      <c r="P91" s="28" t="str">
        <f>+IF(K91="","",VLOOKUP(K91,Sheet2!$C$56:$D$60,2,FALSE))</f>
        <v/>
      </c>
    </row>
    <row r="92" spans="2:16" x14ac:dyDescent="0.25">
      <c r="B92" s="27"/>
      <c r="C92" s="3"/>
      <c r="D92" s="7"/>
      <c r="E92" s="7"/>
      <c r="F92" s="7"/>
      <c r="G92" s="7"/>
      <c r="H92" s="7"/>
      <c r="I92" s="7"/>
      <c r="J92" s="7"/>
      <c r="P92" s="28"/>
    </row>
    <row r="93" spans="2:16" x14ac:dyDescent="0.25">
      <c r="B93" s="65"/>
      <c r="C93" s="63" t="s">
        <v>51</v>
      </c>
      <c r="D93" s="64">
        <f>+D39</f>
        <v>2025</v>
      </c>
      <c r="E93" s="64">
        <f>+E39</f>
        <v>2024</v>
      </c>
      <c r="F93" s="64">
        <f>+F39</f>
        <v>2023</v>
      </c>
      <c r="G93" s="64">
        <f>+G39</f>
        <v>2022</v>
      </c>
      <c r="H93" s="64">
        <f>+H39</f>
        <v>2021</v>
      </c>
      <c r="I93" s="64"/>
      <c r="J93" s="64" t="s">
        <v>38</v>
      </c>
      <c r="K93" s="120" t="s">
        <v>40</v>
      </c>
      <c r="L93" s="120"/>
      <c r="M93" s="120"/>
      <c r="N93" s="120"/>
      <c r="O93" s="120"/>
      <c r="P93" s="60" t="s">
        <v>124</v>
      </c>
    </row>
    <row r="94" spans="2:16" x14ac:dyDescent="0.25">
      <c r="B94" s="29" t="s">
        <v>100</v>
      </c>
      <c r="D94" s="7"/>
      <c r="E94" s="7"/>
      <c r="F94" s="7"/>
      <c r="G94" s="7"/>
      <c r="H94" s="7"/>
      <c r="I94" s="7"/>
      <c r="J94" s="7"/>
      <c r="K94" s="121" t="str">
        <f>+IF(D95="","",IF(D94&lt;0,Sheet2!$C$64,VLOOKUP(D95,Sheet2!$A$64:$C$68,3,TRUE)))</f>
        <v/>
      </c>
      <c r="L94" s="121"/>
      <c r="M94" s="121"/>
      <c r="N94" s="121"/>
      <c r="O94" s="121"/>
      <c r="P94" s="28" t="str">
        <f>+IF(K94="","",VLOOKUP(K94,Sheet2!$C$64:$D$68,2,FALSE))</f>
        <v/>
      </c>
    </row>
    <row r="95" spans="2:16" x14ac:dyDescent="0.25">
      <c r="B95" s="47" t="s">
        <v>45</v>
      </c>
      <c r="D95" s="5" t="str">
        <f>+IF(D94="","",D94/D60)</f>
        <v/>
      </c>
      <c r="E95" s="5" t="str">
        <f t="shared" ref="E95:G95" si="31">+IF(E94="","",E94/E60)</f>
        <v/>
      </c>
      <c r="F95" s="5" t="str">
        <f t="shared" si="31"/>
        <v/>
      </c>
      <c r="G95" s="5" t="str">
        <f t="shared" si="31"/>
        <v/>
      </c>
      <c r="H95" s="7"/>
      <c r="I95" s="7"/>
      <c r="J95" s="5" t="str">
        <f>+IF(D95="","",AVERAGE(D95:G95))</f>
        <v/>
      </c>
      <c r="K95" s="121" t="str">
        <f>+IF(J95="","",IF(AND(C94&lt;0,D94&lt;0),Sheet2!$C$70,VLOOKUP(J95,Sheet2!$A$70:$C$74,3,TRUE)))</f>
        <v/>
      </c>
      <c r="L95" s="121"/>
      <c r="M95" s="121"/>
      <c r="N95" s="121"/>
      <c r="O95" s="121"/>
      <c r="P95" s="28" t="str">
        <f>+IF(K95="","",VLOOKUP(K95,Sheet2!$C$70:$D$74,2,FALSE))</f>
        <v/>
      </c>
    </row>
    <row r="96" spans="2:16" x14ac:dyDescent="0.25">
      <c r="B96" s="27"/>
      <c r="C96" s="3"/>
      <c r="D96" s="7"/>
      <c r="E96" s="7"/>
      <c r="F96" s="7"/>
      <c r="G96" s="7"/>
      <c r="H96" s="7"/>
      <c r="I96" s="7"/>
      <c r="J96" s="7"/>
      <c r="P96" s="28"/>
    </row>
    <row r="97" spans="2:16" x14ac:dyDescent="0.25">
      <c r="B97" s="65"/>
      <c r="C97" s="63" t="s">
        <v>51</v>
      </c>
      <c r="D97" s="64">
        <f>+D39</f>
        <v>2025</v>
      </c>
      <c r="E97" s="64">
        <f>+E39</f>
        <v>2024</v>
      </c>
      <c r="F97" s="64">
        <f>+F39</f>
        <v>2023</v>
      </c>
      <c r="G97" s="64">
        <f>+G39</f>
        <v>2022</v>
      </c>
      <c r="H97" s="64">
        <f>+H39</f>
        <v>2021</v>
      </c>
      <c r="I97" s="64"/>
      <c r="J97" s="64" t="s">
        <v>38</v>
      </c>
      <c r="K97" s="120" t="s">
        <v>40</v>
      </c>
      <c r="L97" s="120"/>
      <c r="M97" s="120"/>
      <c r="N97" s="120"/>
      <c r="O97" s="120"/>
      <c r="P97" s="60" t="s">
        <v>124</v>
      </c>
    </row>
    <row r="98" spans="2:16" x14ac:dyDescent="0.25">
      <c r="B98" s="29" t="s">
        <v>101</v>
      </c>
      <c r="D98" s="7"/>
      <c r="E98" s="7"/>
      <c r="F98" s="7"/>
      <c r="G98" s="7"/>
      <c r="H98" s="7"/>
      <c r="I98" s="7"/>
      <c r="J98" s="7"/>
      <c r="K98" s="121" t="str">
        <f>+IF(D99="","",IF(D98&lt;0,Sheet2!$C$78,VLOOKUP(D99,Sheet2!$A$78:$C$82,3,TRUE)))</f>
        <v/>
      </c>
      <c r="L98" s="121"/>
      <c r="M98" s="121"/>
      <c r="N98" s="121"/>
      <c r="O98" s="121"/>
      <c r="P98" s="28" t="str">
        <f>+IF(K98="","",VLOOKUP(K98,Sheet2!$C$78:$D$82,2,FALSE))</f>
        <v/>
      </c>
    </row>
    <row r="99" spans="2:16" x14ac:dyDescent="0.25">
      <c r="B99" s="47" t="s">
        <v>39</v>
      </c>
      <c r="D99" s="5" t="str">
        <f>+IF(OR(E98="",D98="",),"",(D98-E98)/E98)</f>
        <v/>
      </c>
      <c r="E99" s="5" t="str">
        <f t="shared" ref="E99" si="32">+IF(OR(F98="",E98="",),"",(E98-F98)/F98)</f>
        <v/>
      </c>
      <c r="F99" s="5" t="str">
        <f t="shared" ref="F99" si="33">+IF(OR(G98="",F98="",),"",(F98-G98)/G98)</f>
        <v/>
      </c>
      <c r="G99" s="5" t="str">
        <f>+IF(OR(H98="",G98="",),"",(G98-H98)/H98)</f>
        <v/>
      </c>
      <c r="H99" s="7"/>
      <c r="I99" s="7"/>
      <c r="J99" s="5" t="str">
        <f>+IF(D99="","",AVERAGE(D99:G99))</f>
        <v/>
      </c>
      <c r="K99" s="121" t="str">
        <f>+IF(J99="","",IF(AND(E98&lt;0,D98&lt;0),Sheet2!$C$84,VLOOKUP(J99,Sheet2!$A$84:$C$88,3,TRUE)))</f>
        <v/>
      </c>
      <c r="L99" s="121"/>
      <c r="M99" s="121"/>
      <c r="N99" s="121"/>
      <c r="O99" s="121"/>
      <c r="P99" s="28" t="str">
        <f>+IF(K99="","",VLOOKUP(K99,Sheet2!$C$84:$D$88,2,FALSE))</f>
        <v/>
      </c>
    </row>
    <row r="100" spans="2:16" x14ac:dyDescent="0.25">
      <c r="B100" s="27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28"/>
    </row>
    <row r="101" spans="2:16" x14ac:dyDescent="0.25">
      <c r="B101" s="65"/>
      <c r="C101" s="63" t="s">
        <v>51</v>
      </c>
      <c r="D101" s="64">
        <f>+D39</f>
        <v>2025</v>
      </c>
      <c r="E101" s="64">
        <f>+E39</f>
        <v>2024</v>
      </c>
      <c r="F101" s="64">
        <f>+F39</f>
        <v>2023</v>
      </c>
      <c r="G101" s="64">
        <f>+G39</f>
        <v>2022</v>
      </c>
      <c r="H101" s="64">
        <f>+H39</f>
        <v>2021</v>
      </c>
      <c r="I101" s="64"/>
      <c r="J101" s="64" t="s">
        <v>38</v>
      </c>
      <c r="K101" s="120" t="s">
        <v>40</v>
      </c>
      <c r="L101" s="120"/>
      <c r="M101" s="120"/>
      <c r="N101" s="120"/>
      <c r="O101" s="120"/>
      <c r="P101" s="60" t="s">
        <v>124</v>
      </c>
    </row>
    <row r="102" spans="2:16" x14ac:dyDescent="0.25">
      <c r="B102" s="29" t="s">
        <v>102</v>
      </c>
      <c r="D102" s="7"/>
      <c r="E102" s="7"/>
      <c r="F102" s="7"/>
      <c r="G102" s="7"/>
      <c r="H102" s="7"/>
      <c r="I102" s="7"/>
      <c r="J102" s="7"/>
      <c r="K102" s="121" t="str">
        <f>+IF(D103="","",VLOOKUP(D103,Sheet2!$A$92:$C$94,3,TRUE))</f>
        <v/>
      </c>
      <c r="L102" s="121"/>
      <c r="M102" s="121"/>
      <c r="N102" s="121"/>
      <c r="O102" s="121"/>
      <c r="P102" s="28" t="str">
        <f>+IF(D103="","",VLOOKUP(D103,Sheet2!$A$92:$C$94,2,TRUE))</f>
        <v/>
      </c>
    </row>
    <row r="103" spans="2:16" x14ac:dyDescent="0.25">
      <c r="B103" s="47" t="s">
        <v>46</v>
      </c>
      <c r="D103" s="5" t="str">
        <f>+IF(D102="","",D102/D94)</f>
        <v/>
      </c>
      <c r="E103" s="5" t="str">
        <f t="shared" ref="E103:G103" si="34">+IF(E102="","",E102/E94)</f>
        <v/>
      </c>
      <c r="F103" s="5" t="str">
        <f t="shared" si="34"/>
        <v/>
      </c>
      <c r="G103" s="5" t="str">
        <f t="shared" si="34"/>
        <v/>
      </c>
      <c r="H103" s="7"/>
      <c r="I103" s="7"/>
      <c r="J103" s="5" t="str">
        <f>+IF(D103="","",AVERAGE(D103:G103))</f>
        <v/>
      </c>
      <c r="K103" s="121" t="str">
        <f>+IF(J103="","",VLOOKUP(J103,Sheet2!$A$96:$C$98,3,TRUE))</f>
        <v/>
      </c>
      <c r="L103" s="121"/>
      <c r="M103" s="121"/>
      <c r="N103" s="121"/>
      <c r="O103" s="121"/>
      <c r="P103" s="28" t="str">
        <f>+IF(J103="","",VLOOKUP(J103,Sheet2!$A$96:$C$98,2,TRUE))</f>
        <v/>
      </c>
    </row>
    <row r="104" spans="2:16" x14ac:dyDescent="0.25">
      <c r="B104" s="27"/>
      <c r="C104" s="3"/>
      <c r="D104" s="7"/>
      <c r="E104" s="7"/>
      <c r="F104" s="7"/>
      <c r="G104" s="7"/>
      <c r="H104" s="7"/>
      <c r="I104" s="7"/>
      <c r="J104" s="7"/>
      <c r="P104" s="28"/>
    </row>
    <row r="105" spans="2:16" x14ac:dyDescent="0.25">
      <c r="B105" s="65"/>
      <c r="C105" s="63" t="s">
        <v>51</v>
      </c>
      <c r="D105" s="64">
        <f>+D39</f>
        <v>2025</v>
      </c>
      <c r="E105" s="64">
        <f>+E39</f>
        <v>2024</v>
      </c>
      <c r="F105" s="64">
        <f>+F39</f>
        <v>2023</v>
      </c>
      <c r="G105" s="64">
        <f>+G39</f>
        <v>2022</v>
      </c>
      <c r="H105" s="64">
        <f>+H39</f>
        <v>2021</v>
      </c>
      <c r="I105" s="64"/>
      <c r="J105" s="64" t="s">
        <v>38</v>
      </c>
      <c r="K105" s="120" t="s">
        <v>40</v>
      </c>
      <c r="L105" s="120"/>
      <c r="M105" s="120"/>
      <c r="N105" s="120"/>
      <c r="O105" s="120"/>
      <c r="P105" s="60" t="s">
        <v>124</v>
      </c>
    </row>
    <row r="106" spans="2:16" x14ac:dyDescent="0.25">
      <c r="B106" s="29" t="s">
        <v>103</v>
      </c>
      <c r="D106" s="7"/>
      <c r="E106" s="7"/>
      <c r="F106" s="7"/>
      <c r="G106" s="7"/>
      <c r="H106" s="7"/>
      <c r="I106" s="7"/>
      <c r="J106" s="7"/>
      <c r="P106" s="28"/>
    </row>
    <row r="107" spans="2:16" x14ac:dyDescent="0.25">
      <c r="B107" s="29" t="s">
        <v>104</v>
      </c>
      <c r="D107" s="7"/>
      <c r="E107" s="7"/>
      <c r="F107" s="7"/>
      <c r="G107" s="7"/>
      <c r="H107" s="7"/>
      <c r="I107" s="7"/>
      <c r="J107" s="7"/>
      <c r="K107" s="121" t="str">
        <f>+IF(D108="","",IF(D106&lt;0,Sheet2!$C$104,VLOOKUP(D108,Sheet2!$A$102:$C$104,3,TRUE)))</f>
        <v/>
      </c>
      <c r="L107" s="121"/>
      <c r="M107" s="121"/>
      <c r="N107" s="121"/>
      <c r="O107" s="121"/>
      <c r="P107" s="28" t="str">
        <f>+IF(K107="","",VLOOKUP(K107,Sheet2!$C$102:$D$107,2,FALSE))</f>
        <v/>
      </c>
    </row>
    <row r="108" spans="2:16" ht="15.75" thickBot="1" x14ac:dyDescent="0.3">
      <c r="B108" s="49" t="s">
        <v>47</v>
      </c>
      <c r="C108" s="31"/>
      <c r="D108" s="50" t="str">
        <f>+IF(D107="","",D107*(-1)/D106)</f>
        <v/>
      </c>
      <c r="E108" s="50" t="str">
        <f t="shared" ref="E108:H108" si="35">+IF(E107="","",E107*(-1)/E106)</f>
        <v/>
      </c>
      <c r="F108" s="50" t="str">
        <f t="shared" si="35"/>
        <v/>
      </c>
      <c r="G108" s="50" t="str">
        <f t="shared" si="35"/>
        <v/>
      </c>
      <c r="H108" s="50" t="str">
        <f t="shared" si="35"/>
        <v/>
      </c>
      <c r="I108" s="43"/>
      <c r="J108" s="50" t="str">
        <f>+IF(D108="","",AVERAGE(D108:G108))</f>
        <v/>
      </c>
      <c r="K108" s="136" t="str">
        <f>+IF(J108="","",IF(AND(D106&lt;0,E106&lt;0),Sheet2!$C$107,VLOOKUP(J108,Sheet2!$A$105:$C$107,3,TRUE)))</f>
        <v/>
      </c>
      <c r="L108" s="136"/>
      <c r="M108" s="136"/>
      <c r="N108" s="136"/>
      <c r="O108" s="136"/>
      <c r="P108" s="32" t="str">
        <f>+IF(K108="","",VLOOKUP(K108,Sheet2!$C$102:$D$107,2,FALSE))</f>
        <v/>
      </c>
    </row>
    <row r="109" spans="2:16" ht="15.75" thickBot="1" x14ac:dyDescent="0.3">
      <c r="P109" s="10"/>
    </row>
    <row r="110" spans="2:16" ht="23.25" customHeight="1" x14ac:dyDescent="0.25">
      <c r="B110" s="122" t="s">
        <v>48</v>
      </c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4"/>
    </row>
    <row r="111" spans="2:16" x14ac:dyDescent="0.25">
      <c r="B111" s="125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7"/>
    </row>
    <row r="112" spans="2:16" x14ac:dyDescent="0.25">
      <c r="B112" s="65"/>
      <c r="C112" s="63" t="s">
        <v>51</v>
      </c>
      <c r="D112" s="64">
        <f>+D39</f>
        <v>2025</v>
      </c>
      <c r="E112" s="64">
        <f>+E39</f>
        <v>2024</v>
      </c>
      <c r="F112" s="64">
        <f>+F39</f>
        <v>2023</v>
      </c>
      <c r="G112" s="64">
        <f>+G39</f>
        <v>2022</v>
      </c>
      <c r="H112" s="64">
        <f>+H39</f>
        <v>2021</v>
      </c>
      <c r="I112" s="64"/>
      <c r="J112" s="64" t="s">
        <v>38</v>
      </c>
      <c r="K112" s="120" t="s">
        <v>40</v>
      </c>
      <c r="L112" s="120"/>
      <c r="M112" s="120"/>
      <c r="N112" s="120"/>
      <c r="O112" s="120"/>
      <c r="P112" s="60" t="s">
        <v>124</v>
      </c>
    </row>
    <row r="113" spans="2:16" x14ac:dyDescent="0.25">
      <c r="B113" s="29" t="s">
        <v>105</v>
      </c>
      <c r="D113" s="7"/>
      <c r="E113" s="7"/>
      <c r="F113" s="7"/>
      <c r="G113" s="7"/>
      <c r="H113" s="7"/>
      <c r="I113" s="7"/>
      <c r="J113" s="7" t="str">
        <f>+IF(D113="","",SUM(D113:H113))</f>
        <v/>
      </c>
      <c r="K113" s="121" t="str">
        <f>+IF(D114="","",IF(D113&lt;0,Sheet2!$C$113,VLOOKUP(D114,Sheet2!$A$110:$C$113,3,TRUE)))</f>
        <v/>
      </c>
      <c r="L113" s="121"/>
      <c r="M113" s="121"/>
      <c r="N113" s="121"/>
      <c r="O113" s="121"/>
      <c r="P113" s="28" t="str">
        <f>+IF(K113="","",VLOOKUP(K113,Sheet2!$C$110:$D$117,2,FALSE))</f>
        <v/>
      </c>
    </row>
    <row r="114" spans="2:16" x14ac:dyDescent="0.25">
      <c r="B114" s="51" t="s">
        <v>194</v>
      </c>
      <c r="D114" s="5" t="str">
        <f>+IF(D113="","",D113*(-1)/D64)</f>
        <v/>
      </c>
      <c r="E114" s="5" t="str">
        <f t="shared" ref="E114:H114" si="36">+IF(E113="","",E113*(-1)/E64)</f>
        <v/>
      </c>
      <c r="F114" s="5" t="str">
        <f t="shared" si="36"/>
        <v/>
      </c>
      <c r="G114" s="5" t="str">
        <f t="shared" si="36"/>
        <v/>
      </c>
      <c r="H114" s="5" t="str">
        <f t="shared" si="36"/>
        <v/>
      </c>
      <c r="I114" s="7"/>
      <c r="J114" s="7"/>
      <c r="K114" s="121" t="str">
        <f>+IF(J114="","",IF(AND(D113&lt;0,E113&lt;0),Sheet2!$C$117,VLOOKUP(J114,Sheet2!$A$114:$C$117,3,TRUE)))</f>
        <v/>
      </c>
      <c r="L114" s="121"/>
      <c r="M114" s="121"/>
      <c r="N114" s="121"/>
      <c r="O114" s="121"/>
      <c r="P114" s="28" t="str">
        <f>+IF(K114="","",VLOOKUP(K114,Sheet2!$C$110:$D$117,2,FALSE))</f>
        <v/>
      </c>
    </row>
    <row r="115" spans="2:16" x14ac:dyDescent="0.25">
      <c r="B115" s="27"/>
      <c r="D115" s="7"/>
      <c r="E115" s="7"/>
      <c r="F115" s="7"/>
      <c r="G115" s="7"/>
      <c r="H115" s="7"/>
      <c r="I115" s="7"/>
      <c r="J115" s="7"/>
      <c r="P115" s="28"/>
    </row>
    <row r="116" spans="2:16" x14ac:dyDescent="0.25">
      <c r="B116" s="65"/>
      <c r="C116" s="63" t="s">
        <v>51</v>
      </c>
      <c r="D116" s="64">
        <f>+D39</f>
        <v>2025</v>
      </c>
      <c r="E116" s="64">
        <f>+E39</f>
        <v>2024</v>
      </c>
      <c r="F116" s="64">
        <f>+F39</f>
        <v>2023</v>
      </c>
      <c r="G116" s="64">
        <f>+G39</f>
        <v>2022</v>
      </c>
      <c r="H116" s="64">
        <f>+H39</f>
        <v>2021</v>
      </c>
      <c r="I116" s="64"/>
      <c r="J116" s="64" t="s">
        <v>38</v>
      </c>
      <c r="K116" s="120" t="s">
        <v>40</v>
      </c>
      <c r="L116" s="120"/>
      <c r="M116" s="120"/>
      <c r="N116" s="120"/>
      <c r="O116" s="120"/>
      <c r="P116" s="60" t="s">
        <v>124</v>
      </c>
    </row>
    <row r="117" spans="2:16" x14ac:dyDescent="0.25">
      <c r="B117" s="29" t="s">
        <v>106</v>
      </c>
      <c r="D117" s="7"/>
      <c r="E117" s="7"/>
      <c r="F117" s="7"/>
      <c r="G117" s="7"/>
      <c r="H117" s="7"/>
      <c r="I117" s="7"/>
      <c r="J117" s="7"/>
      <c r="K117" s="121" t="str">
        <f>+IF(D118="","",IF(D117&lt;0,Sheet2!$C$27,VLOOKUP(D118,Sheet2!$A$27:$C$31,3,TRUE)))</f>
        <v/>
      </c>
      <c r="L117" s="121"/>
      <c r="M117" s="121"/>
      <c r="N117" s="121"/>
      <c r="O117" s="121"/>
      <c r="P117" s="28" t="str">
        <f>+IF(K117="","",VLOOKUP(K117,Sheet2!$C$27:$D$31,2,FALSE))</f>
        <v/>
      </c>
    </row>
    <row r="118" spans="2:16" x14ac:dyDescent="0.25">
      <c r="B118" s="47" t="s">
        <v>49</v>
      </c>
      <c r="D118" s="5" t="str">
        <f>+IF(OR(E117="",D117="",),"",(D117-E117)/E117)</f>
        <v/>
      </c>
      <c r="E118" s="5" t="str">
        <f t="shared" ref="E118" si="37">+IF(OR(F117="",E117="",),"",(E117-F117)/F117)</f>
        <v/>
      </c>
      <c r="F118" s="5" t="str">
        <f t="shared" ref="F118" si="38">+IF(OR(G117="",F117="",),"",(F117-G117)/G117)</f>
        <v/>
      </c>
      <c r="G118" s="5" t="str">
        <f>+IF(OR(H117="",G117="",),"",(G117-H117)/H117)</f>
        <v/>
      </c>
      <c r="H118" s="7"/>
      <c r="I118" s="7"/>
      <c r="J118" s="5" t="str">
        <f>+IF(D118="","",AVERAGE(D118:G118))</f>
        <v/>
      </c>
      <c r="K118" s="121" t="str">
        <f>+IF(J118="","",IF(AND(D117&lt;0,E117&lt;0),Sheet2!$C$35,VLOOKUP(J118,Sheet2!$A$35:$C$39,3,TRUE)))</f>
        <v/>
      </c>
      <c r="L118" s="121"/>
      <c r="M118" s="121"/>
      <c r="N118" s="121"/>
      <c r="O118" s="121"/>
      <c r="P118" s="28" t="str">
        <f>+IF(K118="","",VLOOKUP(K118,Sheet2!$C$35:$D$39,2,FALSE))</f>
        <v/>
      </c>
    </row>
    <row r="119" spans="2:16" x14ac:dyDescent="0.25">
      <c r="B119" s="27"/>
      <c r="C119" s="3"/>
      <c r="D119" s="7"/>
      <c r="E119" s="7"/>
      <c r="F119" s="7"/>
      <c r="G119" s="7"/>
      <c r="H119" s="7"/>
      <c r="I119" s="7"/>
      <c r="J119" s="7"/>
      <c r="P119" s="28"/>
    </row>
    <row r="120" spans="2:16" x14ac:dyDescent="0.25">
      <c r="B120" s="65"/>
      <c r="C120" s="63" t="s">
        <v>51</v>
      </c>
      <c r="D120" s="64">
        <f>+D39</f>
        <v>2025</v>
      </c>
      <c r="E120" s="64">
        <f>+E39</f>
        <v>2024</v>
      </c>
      <c r="F120" s="64">
        <f>+F39</f>
        <v>2023</v>
      </c>
      <c r="G120" s="64">
        <f>+G39</f>
        <v>2022</v>
      </c>
      <c r="H120" s="64">
        <f>+H39</f>
        <v>2021</v>
      </c>
      <c r="I120" s="64"/>
      <c r="J120" s="64" t="s">
        <v>38</v>
      </c>
      <c r="K120" s="120" t="s">
        <v>40</v>
      </c>
      <c r="L120" s="120"/>
      <c r="M120" s="120"/>
      <c r="N120" s="120"/>
      <c r="O120" s="120"/>
      <c r="P120" s="60" t="s">
        <v>124</v>
      </c>
    </row>
    <row r="121" spans="2:16" x14ac:dyDescent="0.25">
      <c r="B121" s="29" t="s">
        <v>107</v>
      </c>
      <c r="D121" s="7"/>
      <c r="E121" s="7"/>
      <c r="F121" s="7"/>
      <c r="G121" s="7"/>
      <c r="H121" s="7"/>
      <c r="I121" s="7"/>
      <c r="J121" s="7"/>
      <c r="K121" s="121" t="str">
        <f>+IF(D122="","",IF(D121&lt;0,Sheet2!$C$27,VLOOKUP(D122,Sheet2!$A$27:$C$31,3,TRUE)))</f>
        <v/>
      </c>
      <c r="L121" s="121"/>
      <c r="M121" s="121"/>
      <c r="N121" s="121"/>
      <c r="O121" s="121"/>
      <c r="P121" s="28" t="str">
        <f>+IF(K121="","",VLOOKUP(K121,Sheet2!$C$27:$D$31,2,FALSE))</f>
        <v/>
      </c>
    </row>
    <row r="122" spans="2:16" x14ac:dyDescent="0.25">
      <c r="B122" s="47" t="s">
        <v>49</v>
      </c>
      <c r="D122" s="5" t="str">
        <f>+IF(OR(E121="",D121="",),"",(D121-E121)/E121)</f>
        <v/>
      </c>
      <c r="E122" s="5" t="str">
        <f t="shared" ref="E122" si="39">+IF(OR(F121="",E121="",),"",(E121-F121)/F121)</f>
        <v/>
      </c>
      <c r="F122" s="5" t="str">
        <f t="shared" ref="F122" si="40">+IF(OR(G121="",F121="",),"",(F121-G121)/G121)</f>
        <v/>
      </c>
      <c r="G122" s="5" t="str">
        <f>+IF(OR(H121="",G121="",),"",(G121-H121)/H121)</f>
        <v/>
      </c>
      <c r="H122" s="7"/>
      <c r="I122" s="7"/>
      <c r="J122" s="5" t="str">
        <f>+IF(D122="","",AVERAGE(D122:G122))</f>
        <v/>
      </c>
      <c r="K122" s="121" t="str">
        <f>+IF(J122="","",IF(AND(D121&lt;0,E121&lt;0),Sheet2!$C$35,VLOOKUP(J122,Sheet2!$A$35:$C$39,3,TRUE)))</f>
        <v/>
      </c>
      <c r="L122" s="121"/>
      <c r="M122" s="121"/>
      <c r="N122" s="121"/>
      <c r="O122" s="121"/>
      <c r="P122" s="28" t="str">
        <f>+IF(K122="","",VLOOKUP(K122,Sheet2!$C$35:$D$39,2,FALSE))</f>
        <v/>
      </c>
    </row>
    <row r="123" spans="2:16" x14ac:dyDescent="0.25">
      <c r="B123" s="27"/>
      <c r="C123" s="3"/>
      <c r="D123" s="7"/>
      <c r="E123" s="7"/>
      <c r="F123" s="7"/>
      <c r="G123" s="7"/>
      <c r="H123" s="7"/>
      <c r="I123" s="7"/>
      <c r="J123" s="7"/>
      <c r="P123" s="28"/>
    </row>
    <row r="124" spans="2:16" x14ac:dyDescent="0.25">
      <c r="B124" s="65"/>
      <c r="C124" s="63" t="s">
        <v>51</v>
      </c>
      <c r="D124" s="64">
        <f>+D39</f>
        <v>2025</v>
      </c>
      <c r="E124" s="64">
        <f>+E39</f>
        <v>2024</v>
      </c>
      <c r="F124" s="64">
        <f>+F39</f>
        <v>2023</v>
      </c>
      <c r="G124" s="64">
        <f>+G39</f>
        <v>2022</v>
      </c>
      <c r="H124" s="64">
        <f>+H39</f>
        <v>2021</v>
      </c>
      <c r="I124" s="64"/>
      <c r="J124" s="64" t="s">
        <v>38</v>
      </c>
      <c r="K124" s="120" t="s">
        <v>40</v>
      </c>
      <c r="L124" s="120"/>
      <c r="M124" s="120"/>
      <c r="N124" s="120"/>
      <c r="O124" s="120"/>
      <c r="P124" s="60" t="s">
        <v>124</v>
      </c>
    </row>
    <row r="125" spans="2:16" x14ac:dyDescent="0.25">
      <c r="B125" s="29" t="s">
        <v>108</v>
      </c>
      <c r="D125" s="7"/>
      <c r="E125" s="7"/>
      <c r="F125" s="7"/>
      <c r="G125" s="7"/>
      <c r="H125" s="7"/>
      <c r="I125" s="7"/>
      <c r="J125" s="7"/>
      <c r="P125" s="28"/>
    </row>
    <row r="126" spans="2:16" x14ac:dyDescent="0.25">
      <c r="B126" s="29" t="s">
        <v>109</v>
      </c>
      <c r="D126" s="7"/>
      <c r="E126" s="7"/>
      <c r="F126" s="7"/>
      <c r="G126" s="7"/>
      <c r="H126" s="7"/>
      <c r="I126" s="7"/>
      <c r="J126" s="7"/>
      <c r="K126" s="121" t="str">
        <f>+IF(D127="","",IF(D127&lt;0,"Company rebought its stocks in the last year.","Company didn't rebought its stocks in the last year."))</f>
        <v/>
      </c>
      <c r="L126" s="121"/>
      <c r="M126" s="121"/>
      <c r="N126" s="121"/>
      <c r="O126" s="121"/>
      <c r="P126" s="28" t="str">
        <f>+IF(D127="","",IF(D127&lt;0,5,1))</f>
        <v/>
      </c>
    </row>
    <row r="127" spans="2:16" x14ac:dyDescent="0.25">
      <c r="B127" s="52" t="s">
        <v>110</v>
      </c>
      <c r="D127" s="7" t="str">
        <f>+IF(AND(D125="",D126=""),"",D125+D126)</f>
        <v/>
      </c>
      <c r="E127" s="7" t="str">
        <f t="shared" ref="E127:H127" si="41">+IF(AND(E125="",E126=""),"",E125+E126)</f>
        <v/>
      </c>
      <c r="F127" s="7" t="str">
        <f t="shared" si="41"/>
        <v/>
      </c>
      <c r="G127" s="7" t="str">
        <f t="shared" si="41"/>
        <v/>
      </c>
      <c r="H127" s="7" t="str">
        <f t="shared" si="41"/>
        <v/>
      </c>
      <c r="I127" s="7"/>
      <c r="J127" s="21" t="str">
        <f>+IF(D127="","",AVERAGE(D127:H127))</f>
        <v/>
      </c>
      <c r="K127" s="121" t="str">
        <f>+IF(J127="","",IF(J127&lt;0,"Company usually rebuy its stocks","Company usually don't rebuy its stocks"))</f>
        <v/>
      </c>
      <c r="L127" s="121"/>
      <c r="M127" s="121"/>
      <c r="N127" s="121"/>
      <c r="O127" s="121"/>
      <c r="P127" s="28" t="str">
        <f>+IF(J127="","",IF(J127&lt;0,5,1))</f>
        <v/>
      </c>
    </row>
    <row r="128" spans="2:16" ht="15.75" thickBot="1" x14ac:dyDescent="0.3">
      <c r="B128" s="53"/>
      <c r="C128" s="54"/>
      <c r="D128" s="50"/>
      <c r="E128" s="50"/>
      <c r="F128" s="50"/>
      <c r="G128" s="50"/>
      <c r="H128" s="43"/>
      <c r="I128" s="43"/>
      <c r="J128" s="50"/>
      <c r="K128" s="31"/>
      <c r="L128" s="31"/>
      <c r="M128" s="31"/>
      <c r="N128" s="31"/>
      <c r="O128" s="31"/>
      <c r="P128" s="55"/>
    </row>
    <row r="129" spans="2:16" ht="15.75" thickBot="1" x14ac:dyDescent="0.3"/>
    <row r="130" spans="2:16" ht="23.25" customHeight="1" x14ac:dyDescent="0.25">
      <c r="B130" s="122" t="s">
        <v>50</v>
      </c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4"/>
    </row>
    <row r="131" spans="2:16" x14ac:dyDescent="0.25">
      <c r="B131" s="125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7"/>
    </row>
    <row r="132" spans="2:16" x14ac:dyDescent="0.25">
      <c r="B132" s="65"/>
      <c r="C132" s="64" t="s">
        <v>51</v>
      </c>
      <c r="D132" s="64">
        <f>+D39</f>
        <v>2025</v>
      </c>
      <c r="E132" s="64">
        <f>+E39</f>
        <v>2024</v>
      </c>
      <c r="F132" s="64">
        <f>+F39</f>
        <v>2023</v>
      </c>
      <c r="G132" s="64">
        <f>+G39</f>
        <v>2022</v>
      </c>
      <c r="H132" s="64">
        <f>+H39</f>
        <v>2021</v>
      </c>
      <c r="I132" s="64"/>
      <c r="J132" s="64" t="s">
        <v>38</v>
      </c>
      <c r="K132" s="120" t="s">
        <v>40</v>
      </c>
      <c r="L132" s="120"/>
      <c r="M132" s="120"/>
      <c r="N132" s="120"/>
      <c r="O132" s="120"/>
      <c r="P132" s="60" t="s">
        <v>124</v>
      </c>
    </row>
    <row r="133" spans="2:16" x14ac:dyDescent="0.25">
      <c r="B133" s="29" t="s">
        <v>111</v>
      </c>
      <c r="C133" s="7"/>
      <c r="D133" s="7"/>
      <c r="E133" s="7"/>
      <c r="F133" s="7"/>
      <c r="G133" s="7"/>
      <c r="H133" s="7"/>
      <c r="I133" s="7"/>
      <c r="J133" s="7"/>
      <c r="K133" s="121" t="str">
        <f>+IF(D134="","",IF(D133&lt;0,Sheet2!$C$121,VLOOKUP(D134,Sheet2!$A$121:$C$125,3,TRUE)))</f>
        <v/>
      </c>
      <c r="L133" s="121"/>
      <c r="M133" s="121"/>
      <c r="N133" s="121"/>
      <c r="O133" s="121"/>
      <c r="P133" s="28" t="str">
        <f>+IF(K133="","",VLOOKUP(K133,Sheet2!$C$121:$D$131,2,FALSE))</f>
        <v/>
      </c>
    </row>
    <row r="134" spans="2:16" x14ac:dyDescent="0.25">
      <c r="B134" s="47" t="s">
        <v>39</v>
      </c>
      <c r="C134" s="5" t="str">
        <f>+IF(OR(D133="",C133="",),"",(C133-D133)/D133)</f>
        <v/>
      </c>
      <c r="D134" s="5" t="str">
        <f t="shared" ref="D134" si="42">+IF(OR(E133="",D133="",),"",(D133-E133)/E133)</f>
        <v/>
      </c>
      <c r="E134" s="5" t="str">
        <f t="shared" ref="E134" si="43">+IF(OR(F133="",E133="",),"",(E133-F133)/F133)</f>
        <v/>
      </c>
      <c r="F134" s="5" t="str">
        <f>+IF(OR(G133="",F133="",),"",(F133-G133)/G133)</f>
        <v/>
      </c>
      <c r="G134" s="5" t="str">
        <f>+IF(OR(H133="",G133="",),"",(G133-H133)/H133)</f>
        <v/>
      </c>
      <c r="H134" s="7"/>
      <c r="I134" s="7"/>
      <c r="J134" s="5" t="str">
        <f>+IF(D134="","",AVERAGE(D134:G134))</f>
        <v/>
      </c>
      <c r="K134" s="121" t="str">
        <f>+IF(J134="","",IF(AND(D133&lt;0,E133&lt;0),Sheet2!$C$127,VLOOKUP(J134,Sheet2!$A$127:$C$131,3,TRUE)))</f>
        <v/>
      </c>
      <c r="L134" s="121"/>
      <c r="M134" s="121"/>
      <c r="N134" s="121"/>
      <c r="O134" s="121"/>
      <c r="P134" s="28" t="str">
        <f>+IF(K134="","",VLOOKUP(K134,Sheet2!$C$121:$D$131,2,FALSE))</f>
        <v/>
      </c>
    </row>
    <row r="135" spans="2:16" x14ac:dyDescent="0.25">
      <c r="B135" s="27"/>
      <c r="C135" s="7"/>
      <c r="D135" s="7"/>
      <c r="E135" s="7"/>
      <c r="F135" s="7"/>
      <c r="G135" s="7"/>
      <c r="H135" s="7"/>
      <c r="I135" s="7"/>
      <c r="J135" s="7"/>
      <c r="P135" s="56"/>
    </row>
    <row r="136" spans="2:16" x14ac:dyDescent="0.25">
      <c r="B136" s="29" t="s">
        <v>53</v>
      </c>
      <c r="C136" s="7"/>
      <c r="D136" s="7"/>
      <c r="E136" s="7"/>
      <c r="F136" s="7"/>
      <c r="G136" s="7"/>
      <c r="H136" s="7"/>
      <c r="I136" s="7"/>
      <c r="J136" s="7"/>
      <c r="K136" s="121" t="str">
        <f>+IF(C136="","",IF(C136&gt;C133,Sheet2!$A$133,Sheet2!$A$134))</f>
        <v/>
      </c>
      <c r="L136" s="121"/>
      <c r="M136" s="121"/>
      <c r="N136" s="121"/>
      <c r="O136" s="121"/>
      <c r="P136" s="56" t="str">
        <f>+IF(K136="","",VLOOKUP(K136,Sheet2!$A$133:$B$134,2,FALSE))</f>
        <v/>
      </c>
    </row>
    <row r="137" spans="2:16" x14ac:dyDescent="0.25">
      <c r="B137" s="27"/>
      <c r="C137" s="7"/>
      <c r="D137" s="7"/>
      <c r="E137" s="7"/>
      <c r="F137" s="7"/>
      <c r="G137" s="7"/>
      <c r="H137" s="7"/>
      <c r="I137" s="7"/>
      <c r="J137" s="7"/>
      <c r="P137" s="56"/>
    </row>
    <row r="138" spans="2:16" x14ac:dyDescent="0.25">
      <c r="B138" s="65"/>
      <c r="C138" s="64" t="s">
        <v>51</v>
      </c>
      <c r="D138" s="64">
        <f>+D39</f>
        <v>2025</v>
      </c>
      <c r="E138" s="64">
        <f>+E39</f>
        <v>2024</v>
      </c>
      <c r="F138" s="64">
        <f>+F39</f>
        <v>2023</v>
      </c>
      <c r="G138" s="64">
        <f>+G39</f>
        <v>2022</v>
      </c>
      <c r="H138" s="64">
        <f>+H39</f>
        <v>2021</v>
      </c>
      <c r="I138" s="64"/>
      <c r="J138" s="64" t="s">
        <v>38</v>
      </c>
      <c r="K138" s="120" t="s">
        <v>40</v>
      </c>
      <c r="L138" s="120"/>
      <c r="M138" s="120"/>
      <c r="N138" s="120"/>
      <c r="O138" s="120"/>
      <c r="P138" s="60" t="s">
        <v>124</v>
      </c>
    </row>
    <row r="139" spans="2:16" x14ac:dyDescent="0.25">
      <c r="B139" s="29" t="s">
        <v>54</v>
      </c>
      <c r="C139" s="7"/>
      <c r="D139" s="7"/>
      <c r="E139" s="7"/>
      <c r="F139" s="7"/>
      <c r="G139" s="7"/>
      <c r="H139" s="7"/>
      <c r="I139" s="7"/>
      <c r="J139" s="5" t="str">
        <f>+IF(D139="","",AVERAGE(D139:H139))</f>
        <v/>
      </c>
      <c r="K139" s="121" t="str">
        <f>+IF(C139="","",VLOOKUP(C139,Sheet2!$A$138:$C$145,3,TRUE))</f>
        <v/>
      </c>
      <c r="L139" s="121"/>
      <c r="M139" s="121"/>
      <c r="N139" s="121"/>
      <c r="O139" s="121"/>
      <c r="P139" s="28" t="str">
        <f>+IF(C139="","",VLOOKUP(C139,Sheet2!$A$138:$C$145,2,TRUE))</f>
        <v/>
      </c>
    </row>
    <row r="140" spans="2:16" x14ac:dyDescent="0.25">
      <c r="B140" s="47"/>
      <c r="C140" s="5" t="str">
        <f>+IF(OR(D139="",C139="",),"",(C139-D139)/D139)</f>
        <v/>
      </c>
      <c r="D140" s="5" t="str">
        <f t="shared" ref="D140" si="44">+IF(OR(E139="",D139="",),"",(D139-E139)/E139)</f>
        <v/>
      </c>
      <c r="E140" s="5" t="str">
        <f t="shared" ref="E140" si="45">+IF(OR(F139="",E139="",),"",(E139-F139)/F139)</f>
        <v/>
      </c>
      <c r="F140" s="5" t="str">
        <f>+IF(OR(G139="",F139="",),"",(F139-G139)/G139)</f>
        <v/>
      </c>
      <c r="G140" s="5" t="str">
        <f>+IF(OR(H139="",G139="",),"",(G139-H139)/H139)</f>
        <v/>
      </c>
      <c r="H140" s="7"/>
      <c r="I140" s="7"/>
      <c r="J140" s="5" t="str">
        <f>+IF(D140="","",AVERAGE(D140:G140))</f>
        <v/>
      </c>
      <c r="K140" s="121" t="str">
        <f>+IF(J139="","",VLOOKUP(J139,Sheet2!$A$147:$C$153,3,TRUE))</f>
        <v/>
      </c>
      <c r="L140" s="121"/>
      <c r="M140" s="121"/>
      <c r="N140" s="121"/>
      <c r="O140" s="121"/>
      <c r="P140" s="28" t="str">
        <f>+IF(J139="","",VLOOKUP(J139,Sheet2!$A$147:$C$153,2,TRUE))</f>
        <v/>
      </c>
    </row>
    <row r="141" spans="2:16" x14ac:dyDescent="0.25">
      <c r="B141" s="27"/>
      <c r="C141" s="7"/>
      <c r="D141" s="7"/>
      <c r="E141" s="7"/>
      <c r="F141" s="7"/>
      <c r="G141" s="7"/>
      <c r="H141" s="7"/>
      <c r="I141" s="7"/>
      <c r="J141" s="7"/>
      <c r="K141" s="121" t="str">
        <f>+IF(C139="","",IF(C139&lt;$C$203,Sheet2!$A$155,IF(C139&lt;($C$203*1.1),Sheet2!$A$156,IF(C139&lt;($C$203*1.2),Sheet2!$A$157,Sheet2!A158))))</f>
        <v/>
      </c>
      <c r="L141" s="121"/>
      <c r="M141" s="121"/>
      <c r="N141" s="121"/>
      <c r="O141" s="121"/>
      <c r="P141" s="56" t="str">
        <f>+IF(K141="","",VLOOKUP(K141,Sheet2!$A$155:$B$158,2,FALSE))</f>
        <v/>
      </c>
    </row>
    <row r="142" spans="2:16" x14ac:dyDescent="0.25">
      <c r="B142" s="29" t="s">
        <v>55</v>
      </c>
      <c r="C142" s="7"/>
      <c r="D142" s="7"/>
      <c r="E142" s="7"/>
      <c r="F142" s="7"/>
      <c r="G142" s="7"/>
      <c r="H142" s="7"/>
      <c r="I142" s="7"/>
      <c r="J142" s="7"/>
      <c r="K142" s="121" t="str">
        <f>+IF(C142="","",IF(C142&gt;C139,Sheet2!$A$161,Sheet2!$A$160))</f>
        <v/>
      </c>
      <c r="L142" s="121"/>
      <c r="M142" s="121"/>
      <c r="N142" s="121"/>
      <c r="O142" s="121"/>
      <c r="P142" s="56" t="str">
        <f>+IF(K142="","",VLOOKUP(K142,Sheet2!$A$160:$B$161,2,FALSE))</f>
        <v/>
      </c>
    </row>
    <row r="143" spans="2:16" x14ac:dyDescent="0.25">
      <c r="B143" s="27"/>
      <c r="C143" s="7"/>
      <c r="D143" s="7"/>
      <c r="E143" s="7"/>
      <c r="F143" s="7"/>
      <c r="G143" s="7"/>
      <c r="H143" s="7"/>
      <c r="I143" s="7"/>
      <c r="J143" s="7"/>
      <c r="P143" s="56"/>
    </row>
    <row r="144" spans="2:16" x14ac:dyDescent="0.25">
      <c r="B144" s="65"/>
      <c r="C144" s="64" t="s">
        <v>51</v>
      </c>
      <c r="D144" s="64">
        <f>+D39</f>
        <v>2025</v>
      </c>
      <c r="E144" s="64">
        <f>+E39</f>
        <v>2024</v>
      </c>
      <c r="F144" s="64">
        <f>+F39</f>
        <v>2023</v>
      </c>
      <c r="G144" s="64">
        <f>+G39</f>
        <v>2022</v>
      </c>
      <c r="H144" s="64">
        <f>+H39</f>
        <v>2021</v>
      </c>
      <c r="I144" s="64"/>
      <c r="J144" s="64" t="s">
        <v>38</v>
      </c>
      <c r="K144" s="120" t="s">
        <v>40</v>
      </c>
      <c r="L144" s="120"/>
      <c r="M144" s="120"/>
      <c r="N144" s="120"/>
      <c r="O144" s="120"/>
      <c r="P144" s="60" t="s">
        <v>124</v>
      </c>
    </row>
    <row r="145" spans="2:16" x14ac:dyDescent="0.25">
      <c r="B145" s="29" t="s">
        <v>112</v>
      </c>
      <c r="C145" s="7"/>
      <c r="D145" s="7"/>
      <c r="E145" s="7"/>
      <c r="F145" s="7"/>
      <c r="G145" s="7"/>
      <c r="H145" s="7"/>
      <c r="I145" s="7"/>
      <c r="J145" s="7"/>
      <c r="K145" s="121" t="str">
        <f>+IF(C145="","",VLOOKUP(C145,Sheet2!$A$138:$C$145,3,TRUE))</f>
        <v/>
      </c>
      <c r="L145" s="121"/>
      <c r="M145" s="121"/>
      <c r="N145" s="121"/>
      <c r="O145" s="121"/>
      <c r="P145" s="28" t="str">
        <f>+IF(C145="","",VLOOKUP(C145,Sheet2!$A$138:$C$145,2,TRUE))</f>
        <v/>
      </c>
    </row>
    <row r="146" spans="2:16" x14ac:dyDescent="0.25">
      <c r="B146" s="47"/>
      <c r="C146" s="5" t="str">
        <f>+IF(OR(D145="",C145="",),"",(C145-D145)/D145)</f>
        <v/>
      </c>
      <c r="D146" s="5" t="str">
        <f t="shared" ref="D146" si="46">+IF(OR(E145="",D145="",),"",(D145-E145)/E145)</f>
        <v/>
      </c>
      <c r="E146" s="5" t="str">
        <f t="shared" ref="E146" si="47">+IF(OR(F145="",E145="",),"",(E145-F145)/F145)</f>
        <v/>
      </c>
      <c r="F146" s="5" t="str">
        <f>+IF(OR(G145="",F145="",),"",(F145-G145)/G145)</f>
        <v/>
      </c>
      <c r="G146" s="5" t="str">
        <f>+IF(OR(H145="",G145="",),"",(G145-H145)/H145)</f>
        <v/>
      </c>
      <c r="H146" s="7"/>
      <c r="I146" s="7"/>
      <c r="J146" s="5" t="str">
        <f>+IF(D146="","",AVERAGE(D146:G146))</f>
        <v/>
      </c>
      <c r="K146" s="121" t="str">
        <f>+IF(C145="","",IF(C145&lt;$D$203,Sheet2!$A$155,IF(C145&lt;($D$203*1.1),Sheet2!$A$156,IF(C145&lt;($D$203*1.2),Sheet2!$A$157,Sheet2!A158))))</f>
        <v/>
      </c>
      <c r="L146" s="121"/>
      <c r="M146" s="121"/>
      <c r="N146" s="121"/>
      <c r="O146" s="121"/>
      <c r="P146" s="56" t="str">
        <f>+IF(K146="","",VLOOKUP(K146,Sheet2!$A$155:$B$158,2,FALSE))</f>
        <v/>
      </c>
    </row>
    <row r="147" spans="2:16" x14ac:dyDescent="0.25">
      <c r="B147" s="27"/>
      <c r="C147" s="7"/>
      <c r="D147" s="7"/>
      <c r="E147" s="7"/>
      <c r="F147" s="7"/>
      <c r="G147" s="7"/>
      <c r="H147" s="7"/>
      <c r="I147" s="7"/>
      <c r="J147" s="7"/>
      <c r="P147" s="56"/>
    </row>
    <row r="148" spans="2:16" x14ac:dyDescent="0.25">
      <c r="B148" s="65"/>
      <c r="C148" s="64" t="s">
        <v>51</v>
      </c>
      <c r="D148" s="64">
        <f>+D39</f>
        <v>2025</v>
      </c>
      <c r="E148" s="64">
        <f>+E39</f>
        <v>2024</v>
      </c>
      <c r="F148" s="64">
        <f>+F39</f>
        <v>2023</v>
      </c>
      <c r="G148" s="64">
        <f>+G39</f>
        <v>2022</v>
      </c>
      <c r="H148" s="64">
        <f>+H39</f>
        <v>2021</v>
      </c>
      <c r="I148" s="64"/>
      <c r="J148" s="64" t="s">
        <v>38</v>
      </c>
      <c r="K148" s="120" t="s">
        <v>40</v>
      </c>
      <c r="L148" s="120"/>
      <c r="M148" s="120"/>
      <c r="N148" s="120"/>
      <c r="O148" s="120"/>
      <c r="P148" s="60" t="s">
        <v>124</v>
      </c>
    </row>
    <row r="149" spans="2:16" x14ac:dyDescent="0.25">
      <c r="B149" s="29" t="s">
        <v>113</v>
      </c>
      <c r="C149" s="7"/>
      <c r="D149" s="7"/>
      <c r="E149" s="7"/>
      <c r="F149" s="7"/>
      <c r="G149" s="7"/>
      <c r="H149" s="7"/>
      <c r="I149" s="7"/>
      <c r="J149" s="7"/>
      <c r="K149" s="121" t="str">
        <f>+IF(C149="","",VLOOKUP(C149,Sheet2!$A$164:$C$170,3,TRUE))</f>
        <v/>
      </c>
      <c r="L149" s="121"/>
      <c r="M149" s="121"/>
      <c r="N149" s="121"/>
      <c r="O149" s="121"/>
      <c r="P149" s="28" t="str">
        <f>+IF(C149="","",VLOOKUP(C149,Sheet2!$A$164:$C$170,2,TRUE))</f>
        <v/>
      </c>
    </row>
    <row r="150" spans="2:16" x14ac:dyDescent="0.25">
      <c r="B150" s="47"/>
      <c r="C150" s="5" t="str">
        <f>+IF(OR(D149="",C149="",),"",(C149-D149)/D149)</f>
        <v/>
      </c>
      <c r="D150" s="5" t="str">
        <f t="shared" ref="D150" si="48">+IF(OR(E149="",D149="",),"",(D149-E149)/E149)</f>
        <v/>
      </c>
      <c r="E150" s="5" t="str">
        <f t="shared" ref="E150" si="49">+IF(OR(F149="",E149="",),"",(E149-F149)/F149)</f>
        <v/>
      </c>
      <c r="F150" s="5" t="str">
        <f>+IF(OR(G149="",F149="",),"",(F149-G149)/G149)</f>
        <v/>
      </c>
      <c r="G150" s="5" t="str">
        <f>+IF(OR(H149="",G149="",),"",(G149-H149)/H149)</f>
        <v/>
      </c>
      <c r="H150" s="7"/>
      <c r="I150" s="7"/>
      <c r="J150" s="5" t="str">
        <f>+IF(D150="","",AVERAGE(D150:G150))</f>
        <v/>
      </c>
      <c r="K150" s="121" t="str">
        <f>+IF(C149="","",IF(C149&lt;$E$203,Sheet2!$A$155,IF(C149&lt;($E$203*1.1),Sheet2!$A$156,IF(C149&lt;($E$203*1.2),Sheet2!$A$157,Sheet2!A158))))</f>
        <v/>
      </c>
      <c r="L150" s="121"/>
      <c r="M150" s="121"/>
      <c r="N150" s="121"/>
      <c r="O150" s="121"/>
      <c r="P150" s="56" t="str">
        <f>+IF(K150="","",VLOOKUP(K150,Sheet2!$A$155:$B$158,2,FALSE))</f>
        <v/>
      </c>
    </row>
    <row r="151" spans="2:16" x14ac:dyDescent="0.25">
      <c r="B151" s="27"/>
      <c r="C151" s="7"/>
      <c r="D151" s="7"/>
      <c r="E151" s="7"/>
      <c r="F151" s="7"/>
      <c r="G151" s="7"/>
      <c r="H151" s="7"/>
      <c r="I151" s="7"/>
      <c r="J151" s="7"/>
      <c r="P151" s="56"/>
    </row>
    <row r="152" spans="2:16" x14ac:dyDescent="0.25">
      <c r="B152" s="65"/>
      <c r="C152" s="64" t="s">
        <v>51</v>
      </c>
      <c r="D152" s="64">
        <f>+D39</f>
        <v>2025</v>
      </c>
      <c r="E152" s="64">
        <f>+E39</f>
        <v>2024</v>
      </c>
      <c r="F152" s="64">
        <f>+F39</f>
        <v>2023</v>
      </c>
      <c r="G152" s="64">
        <f>+G39</f>
        <v>2022</v>
      </c>
      <c r="H152" s="64">
        <f>+H39</f>
        <v>2021</v>
      </c>
      <c r="I152" s="64"/>
      <c r="J152" s="64" t="s">
        <v>38</v>
      </c>
      <c r="K152" s="120" t="s">
        <v>40</v>
      </c>
      <c r="L152" s="120"/>
      <c r="M152" s="120"/>
      <c r="N152" s="120"/>
      <c r="O152" s="120"/>
      <c r="P152" s="60" t="s">
        <v>124</v>
      </c>
    </row>
    <row r="153" spans="2:16" x14ac:dyDescent="0.25">
      <c r="B153" s="29" t="s">
        <v>114</v>
      </c>
      <c r="C153" s="7"/>
      <c r="D153" s="7"/>
      <c r="E153" s="7"/>
      <c r="F153" s="7"/>
      <c r="G153" s="7"/>
      <c r="H153" s="7"/>
      <c r="I153" s="7"/>
      <c r="J153" s="7"/>
      <c r="K153" s="121"/>
      <c r="L153" s="121"/>
      <c r="M153" s="121"/>
      <c r="N153" s="121"/>
      <c r="O153" s="121"/>
      <c r="P153" s="28"/>
    </row>
    <row r="154" spans="2:16" x14ac:dyDescent="0.25">
      <c r="B154" s="47"/>
      <c r="C154" s="5" t="str">
        <f>+IF(OR(D153="",C153="",),"",(C153-D153)/D153)</f>
        <v/>
      </c>
      <c r="D154" s="5" t="str">
        <f t="shared" ref="D154" si="50">+IF(OR(E153="",D153="",),"",(D153-E153)/E153)</f>
        <v/>
      </c>
      <c r="E154" s="5" t="str">
        <f t="shared" ref="E154" si="51">+IF(OR(F153="",E153="",),"",(E153-F153)/F153)</f>
        <v/>
      </c>
      <c r="F154" s="5" t="str">
        <f>+IF(OR(G153="",F153="",),"",(F153-G153)/G153)</f>
        <v/>
      </c>
      <c r="G154" s="5" t="str">
        <f>+IF(OR(H153="",G153="",),"",(G153-H153)/H153)</f>
        <v/>
      </c>
      <c r="H154" s="7"/>
      <c r="I154" s="7"/>
      <c r="J154" s="5" t="str">
        <f>+IF(D154="","",AVERAGE(D154:G154))</f>
        <v/>
      </c>
      <c r="K154" s="121" t="str">
        <f>+IF(C153="","",IF(C153&lt;$F$203,Sheet2!$A$155,IF(C153&lt;($F$203*1.1),Sheet2!$A$156,IF(C153&lt;($F$203*1.2),Sheet2!$A$157,Sheet2!A158))))</f>
        <v/>
      </c>
      <c r="L154" s="121"/>
      <c r="M154" s="121"/>
      <c r="N154" s="121"/>
      <c r="O154" s="121"/>
      <c r="P154" s="56" t="str">
        <f>+IF(K154="","",VLOOKUP(K154,Sheet2!$A$155:$B$158,2,FALSE))</f>
        <v/>
      </c>
    </row>
    <row r="155" spans="2:16" x14ac:dyDescent="0.25">
      <c r="B155" s="27"/>
      <c r="C155" s="7"/>
      <c r="D155" s="7"/>
      <c r="E155" s="7"/>
      <c r="F155" s="7"/>
      <c r="G155" s="7"/>
      <c r="H155" s="7"/>
      <c r="I155" s="7"/>
      <c r="J155" s="7"/>
      <c r="P155" s="56"/>
    </row>
    <row r="156" spans="2:16" x14ac:dyDescent="0.25">
      <c r="B156" s="65"/>
      <c r="C156" s="64" t="s">
        <v>51</v>
      </c>
      <c r="D156" s="64">
        <f>+D39</f>
        <v>2025</v>
      </c>
      <c r="E156" s="64">
        <f>+E39</f>
        <v>2024</v>
      </c>
      <c r="F156" s="64">
        <f>+F39</f>
        <v>2023</v>
      </c>
      <c r="G156" s="64">
        <f>+G39</f>
        <v>2022</v>
      </c>
      <c r="H156" s="64">
        <f>+H39</f>
        <v>2021</v>
      </c>
      <c r="I156" s="64"/>
      <c r="J156" s="64" t="s">
        <v>38</v>
      </c>
      <c r="K156" s="120" t="s">
        <v>40</v>
      </c>
      <c r="L156" s="120"/>
      <c r="M156" s="120"/>
      <c r="N156" s="120"/>
      <c r="O156" s="120"/>
      <c r="P156" s="60" t="s">
        <v>124</v>
      </c>
    </row>
    <row r="157" spans="2:16" x14ac:dyDescent="0.25">
      <c r="B157" s="29" t="s">
        <v>56</v>
      </c>
      <c r="C157" s="7"/>
      <c r="D157" s="7"/>
      <c r="E157" s="7"/>
      <c r="F157" s="7"/>
      <c r="G157" s="7"/>
      <c r="H157" s="7"/>
      <c r="I157" s="7"/>
      <c r="J157" s="7"/>
      <c r="K157" s="121" t="str">
        <f>+IF(C157="","",VLOOKUP(C157,Sheet2!$A$173:$C$179,3,TRUE))</f>
        <v/>
      </c>
      <c r="L157" s="121"/>
      <c r="M157" s="121"/>
      <c r="N157" s="121"/>
      <c r="O157" s="121"/>
      <c r="P157" s="28" t="str">
        <f>+IF(C157="","",VLOOKUP(C157,Sheet2!$A$173:$C$179,2,TRUE))</f>
        <v/>
      </c>
    </row>
    <row r="158" spans="2:16" x14ac:dyDescent="0.25">
      <c r="B158" s="47"/>
      <c r="C158" s="5" t="str">
        <f>+IF(OR(D157="",C157="",),"",(C157-D157)/D157)</f>
        <v/>
      </c>
      <c r="D158" s="5" t="str">
        <f t="shared" ref="D158" si="52">+IF(OR(E157="",D157="",),"",(D157-E157)/E157)</f>
        <v/>
      </c>
      <c r="E158" s="5" t="str">
        <f t="shared" ref="E158" si="53">+IF(OR(F157="",E157="",),"",(E157-F157)/F157)</f>
        <v/>
      </c>
      <c r="F158" s="5" t="str">
        <f>+IF(OR(G157="",F157="",),"",(F157-G157)/G157)</f>
        <v/>
      </c>
      <c r="G158" s="5" t="str">
        <f>+IF(OR(H157="",G157="",),"",(G157-H157)/H157)</f>
        <v/>
      </c>
      <c r="H158" s="7"/>
      <c r="I158" s="7"/>
      <c r="J158" s="5" t="str">
        <f>+IF(D158="","",AVERAGE(D158:G158))</f>
        <v/>
      </c>
      <c r="K158" s="121" t="str">
        <f>+IF(C157="","",IF(C157&lt;$G$203,Sheet2!$A$155,IF(C157&lt;($G$203*1.1),Sheet2!$A$156,IF(C157&lt;($G$203*1.2),Sheet2!$A$157,Sheet2!A158))))</f>
        <v/>
      </c>
      <c r="L158" s="121"/>
      <c r="M158" s="121"/>
      <c r="N158" s="121"/>
      <c r="O158" s="121"/>
      <c r="P158" s="56" t="str">
        <f>+IF(K158="","",VLOOKUP(K158,Sheet2!$A$155:$B$158,2,FALSE))</f>
        <v/>
      </c>
    </row>
    <row r="159" spans="2:16" x14ac:dyDescent="0.25">
      <c r="B159" s="27"/>
      <c r="C159" s="7"/>
      <c r="D159" s="7"/>
      <c r="E159" s="7"/>
      <c r="F159" s="7"/>
      <c r="G159" s="7"/>
      <c r="H159" s="7"/>
      <c r="I159" s="7"/>
      <c r="J159" s="7"/>
      <c r="P159" s="56"/>
    </row>
    <row r="160" spans="2:16" x14ac:dyDescent="0.25">
      <c r="B160" s="65"/>
      <c r="C160" s="64" t="s">
        <v>51</v>
      </c>
      <c r="D160" s="66"/>
      <c r="E160" s="66"/>
      <c r="F160" s="66"/>
      <c r="G160" s="66"/>
      <c r="H160" s="66"/>
      <c r="I160" s="66"/>
      <c r="J160" s="66"/>
      <c r="K160" s="120" t="s">
        <v>40</v>
      </c>
      <c r="L160" s="120"/>
      <c r="M160" s="120"/>
      <c r="N160" s="120"/>
      <c r="O160" s="120"/>
      <c r="P160" s="60" t="s">
        <v>124</v>
      </c>
    </row>
    <row r="161" spans="2:16" x14ac:dyDescent="0.25">
      <c r="B161" s="29" t="s">
        <v>57</v>
      </c>
      <c r="C161" s="9" t="str">
        <f>+IF(J192="","",J192)</f>
        <v/>
      </c>
      <c r="D161" s="7"/>
      <c r="E161" s="7"/>
      <c r="F161" s="7"/>
      <c r="G161" s="7"/>
      <c r="H161" s="7"/>
      <c r="I161" s="7"/>
      <c r="J161" s="7"/>
      <c r="K161" s="121" t="str">
        <f>+IF(C161="","",IF(C161&gt;($J$203*1.1),Sheet2!$A$182,IF(Sheet1!C161&gt;(Sheet1!$J$203*0.8),Sheet2!A183,IF(Sheet1!C161&gt;(Sheet1!J203*0.6),Sheet2!A184,Sheet2!A185))))</f>
        <v/>
      </c>
      <c r="L161" s="121"/>
      <c r="M161" s="121"/>
      <c r="N161" s="121"/>
      <c r="O161" s="121"/>
      <c r="P161" s="56" t="str">
        <f>+IF(K161="","",VLOOKUP(K161,Sheet2!$A$182:$B$185,2,FALSE))</f>
        <v/>
      </c>
    </row>
    <row r="162" spans="2:16" x14ac:dyDescent="0.25">
      <c r="B162" s="29" t="s">
        <v>58</v>
      </c>
      <c r="C162" s="9" t="str">
        <f>+IF(K192="","",K192)</f>
        <v/>
      </c>
      <c r="D162" s="7"/>
      <c r="E162" s="7"/>
      <c r="F162" s="7"/>
      <c r="G162" s="7"/>
      <c r="H162" s="7"/>
      <c r="I162" s="7"/>
      <c r="J162" s="7"/>
      <c r="K162" s="121" t="str">
        <f>+IF(C162="","",IF(C162&gt;($K$203*1.1),Sheet2!$A$182,IF(Sheet1!C162&gt;(Sheet1!$K$203*0.8),Sheet2!A183,IF(Sheet1!C162&gt;(Sheet1!K203*0.6),Sheet2!A184,Sheet2!A185))))</f>
        <v/>
      </c>
      <c r="L162" s="121"/>
      <c r="M162" s="121"/>
      <c r="N162" s="121"/>
      <c r="O162" s="121"/>
      <c r="P162" s="56" t="str">
        <f>+IF(K162="","",VLOOKUP(K162,Sheet2!$A$182:$B$185,2,FALSE))</f>
        <v/>
      </c>
    </row>
    <row r="163" spans="2:16" x14ac:dyDescent="0.25">
      <c r="B163" s="27"/>
      <c r="C163" s="7"/>
      <c r="D163" s="7"/>
      <c r="E163" s="7"/>
      <c r="F163" s="7"/>
      <c r="G163" s="7"/>
      <c r="H163" s="7"/>
      <c r="I163" s="7"/>
      <c r="J163" s="7"/>
      <c r="P163" s="56"/>
    </row>
    <row r="164" spans="2:16" x14ac:dyDescent="0.25">
      <c r="B164" s="65"/>
      <c r="C164" s="64" t="s">
        <v>51</v>
      </c>
      <c r="D164" s="64">
        <f>+D39</f>
        <v>2025</v>
      </c>
      <c r="E164" s="64">
        <f>+E39</f>
        <v>2024</v>
      </c>
      <c r="F164" s="64">
        <f>+F39</f>
        <v>2023</v>
      </c>
      <c r="G164" s="64">
        <f>+G39</f>
        <v>2022</v>
      </c>
      <c r="H164" s="64">
        <f>+H39</f>
        <v>2021</v>
      </c>
      <c r="I164" s="64"/>
      <c r="J164" s="64" t="s">
        <v>38</v>
      </c>
      <c r="K164" s="120" t="s">
        <v>40</v>
      </c>
      <c r="L164" s="120"/>
      <c r="M164" s="120"/>
      <c r="N164" s="120"/>
      <c r="O164" s="120"/>
      <c r="P164" s="60" t="s">
        <v>124</v>
      </c>
    </row>
    <row r="165" spans="2:16" x14ac:dyDescent="0.25">
      <c r="B165" s="29" t="s">
        <v>119</v>
      </c>
      <c r="C165" s="7"/>
      <c r="D165" s="7"/>
      <c r="E165" s="7"/>
      <c r="F165" s="7"/>
      <c r="G165" s="7"/>
      <c r="H165" s="7"/>
      <c r="I165" s="7"/>
      <c r="J165" s="5" t="str">
        <f>+IF(D165="","",AVERAGE(D165:H165))</f>
        <v/>
      </c>
      <c r="K165" s="121" t="str">
        <f>+IF(C165="","",VLOOKUP(C165,Sheet2!$A$189:$C$195,3,TRUE))</f>
        <v/>
      </c>
      <c r="L165" s="121"/>
      <c r="M165" s="121"/>
      <c r="N165" s="121"/>
      <c r="O165" s="121"/>
      <c r="P165" s="28" t="str">
        <f>+IF(C165="","",VLOOKUP(C165,Sheet2!$A$189:$C$195,2,TRUE))</f>
        <v/>
      </c>
    </row>
    <row r="166" spans="2:16" x14ac:dyDescent="0.25">
      <c r="B166" s="47"/>
      <c r="C166" s="5" t="str">
        <f>+IF(OR(D165="",C165="",),"",(C165-D165)/D165)</f>
        <v/>
      </c>
      <c r="D166" s="5" t="str">
        <f t="shared" ref="D166" si="54">+IF(OR(E165="",D165="",),"",(D165-E165)/E165)</f>
        <v/>
      </c>
      <c r="E166" s="5" t="str">
        <f t="shared" ref="E166" si="55">+IF(OR(F165="",E165="",),"",(E165-F165)/F165)</f>
        <v/>
      </c>
      <c r="F166" s="5" t="str">
        <f>+IF(OR(G165="",F165="",),"",(F165-G165)/G165)</f>
        <v/>
      </c>
      <c r="G166" s="5" t="str">
        <f>+IF(OR(H165="",G165="",),"",(G165-H165)/H165)</f>
        <v/>
      </c>
      <c r="H166" s="7"/>
      <c r="I166" s="7"/>
      <c r="J166" s="5"/>
      <c r="K166" s="121" t="str">
        <f>+IF(J165="","",VLOOKUP(J165,Sheet2!$A$198:$C$204,3,TRUE))</f>
        <v/>
      </c>
      <c r="L166" s="121"/>
      <c r="M166" s="121"/>
      <c r="N166" s="121"/>
      <c r="O166" s="121"/>
      <c r="P166" s="28" t="str">
        <f>+IF(J165="","",VLOOKUP(J165,Sheet2!$A$198:$C$204,2,TRUE))</f>
        <v/>
      </c>
    </row>
    <row r="167" spans="2:16" x14ac:dyDescent="0.25">
      <c r="B167" s="27"/>
      <c r="C167" s="7"/>
      <c r="D167" s="7"/>
      <c r="E167" s="7"/>
      <c r="F167" s="7"/>
      <c r="G167" s="7"/>
      <c r="H167" s="7"/>
      <c r="I167" s="7"/>
      <c r="J167" s="7"/>
      <c r="K167" s="121" t="str">
        <f>+IF(C165="","",IF(C165&gt;(1.15*$L$203),Sheet2!$A$206,IF(Sheet1!C165&gt;Sheet1!$L$203,Sheet2!$A$207,IF(Sheet1!C165&gt;(0.7*Sheet1!$L$203),Sheet2!$A$208,IF(Sheet1!C165&gt;(0.6*Sheet1!$L$203),Sheet2!$A$209,Sheet2!$A$210)))))</f>
        <v/>
      </c>
      <c r="L167" s="121"/>
      <c r="M167" s="121"/>
      <c r="N167" s="121"/>
      <c r="O167" s="121"/>
      <c r="P167" s="56" t="str">
        <f>+IF(K167="","",VLOOKUP(K167,Sheet2!$A$206:$B$210,2,FALSE))</f>
        <v/>
      </c>
    </row>
    <row r="168" spans="2:16" x14ac:dyDescent="0.25">
      <c r="B168" s="2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56"/>
    </row>
    <row r="169" spans="2:16" x14ac:dyDescent="0.25">
      <c r="B169" s="65"/>
      <c r="C169" s="64" t="s">
        <v>51</v>
      </c>
      <c r="D169" s="64">
        <f>+D39</f>
        <v>2025</v>
      </c>
      <c r="E169" s="64">
        <f>+E39</f>
        <v>2024</v>
      </c>
      <c r="F169" s="64">
        <f>+F39</f>
        <v>2023</v>
      </c>
      <c r="G169" s="64">
        <f>+G39</f>
        <v>2022</v>
      </c>
      <c r="H169" s="64">
        <f>+H39</f>
        <v>2021</v>
      </c>
      <c r="I169" s="64"/>
      <c r="J169" s="64" t="s">
        <v>38</v>
      </c>
      <c r="K169" s="120" t="s">
        <v>40</v>
      </c>
      <c r="L169" s="120"/>
      <c r="M169" s="120"/>
      <c r="N169" s="120"/>
      <c r="O169" s="120"/>
      <c r="P169" s="60" t="s">
        <v>124</v>
      </c>
    </row>
    <row r="170" spans="2:16" x14ac:dyDescent="0.25">
      <c r="B170" s="29" t="s">
        <v>118</v>
      </c>
      <c r="C170" s="7"/>
      <c r="D170" s="7"/>
      <c r="E170" s="7"/>
      <c r="F170" s="7"/>
      <c r="G170" s="7"/>
      <c r="H170" s="7"/>
      <c r="I170" s="7"/>
      <c r="J170" s="5" t="str">
        <f>+IF(D170="","",AVERAGE(D170:H170))</f>
        <v/>
      </c>
      <c r="K170" s="121" t="str">
        <f>+IF(C170="","",VLOOKUP(C170,Sheet2!$A$189:$C$195,3,TRUE))</f>
        <v/>
      </c>
      <c r="L170" s="121"/>
      <c r="M170" s="121"/>
      <c r="N170" s="121"/>
      <c r="O170" s="121"/>
      <c r="P170" s="28" t="str">
        <f>+IF(C170="","",VLOOKUP(C170,Sheet2!$A$189:$C$195,2,TRUE))</f>
        <v/>
      </c>
    </row>
    <row r="171" spans="2:16" x14ac:dyDescent="0.25">
      <c r="B171" s="47" t="s">
        <v>39</v>
      </c>
      <c r="C171" s="5" t="str">
        <f>+IF(OR(D170="",C170="",),"",(C170-D170)/D170)</f>
        <v/>
      </c>
      <c r="D171" s="5" t="str">
        <f t="shared" ref="D171" si="56">+IF(OR(E170="",D170="",),"",(D170-E170)/E170)</f>
        <v/>
      </c>
      <c r="E171" s="5" t="str">
        <f t="shared" ref="E171" si="57">+IF(OR(F170="",E170="",),"",(E170-F170)/F170)</f>
        <v/>
      </c>
      <c r="F171" s="5" t="str">
        <f>+IF(OR(G170="",F170="",),"",(F170-G170)/G170)</f>
        <v/>
      </c>
      <c r="G171" s="5" t="str">
        <f>+IF(OR(H170="",G170="",),"",(G170-H170)/H170)</f>
        <v/>
      </c>
      <c r="H171" s="7"/>
      <c r="I171" s="7"/>
      <c r="J171" s="5"/>
      <c r="K171" s="121" t="str">
        <f>+IF(J170="","",VLOOKUP(J170,Sheet2!$A$198:$C$204,3,TRUE))</f>
        <v/>
      </c>
      <c r="L171" s="121"/>
      <c r="M171" s="121"/>
      <c r="N171" s="121"/>
      <c r="O171" s="121"/>
      <c r="P171" s="28" t="str">
        <f>+IF(J170="","",VLOOKUP(J170,Sheet2!$A$198:$C$204,2,TRUE))</f>
        <v/>
      </c>
    </row>
    <row r="172" spans="2:16" x14ac:dyDescent="0.25">
      <c r="B172" s="27"/>
      <c r="C172" s="7"/>
      <c r="D172" s="7"/>
      <c r="E172" s="7"/>
      <c r="F172" s="7"/>
      <c r="G172" s="7"/>
      <c r="H172" s="7"/>
      <c r="I172" s="7"/>
      <c r="J172" s="7"/>
      <c r="K172" s="121" t="str">
        <f>+IF(C170="","",IF(C170&gt;(1.15*$M$203),Sheet2!$A$206,IF(Sheet1!C170&gt;Sheet1!$M$203,Sheet2!$A$207,IF(Sheet1!C170&gt;(0.7*Sheet1!$M$203),Sheet2!$A$208,IF(Sheet1!C170&gt;(0.6*Sheet1!$M$203),Sheet2!$A$209,Sheet2!$A$210)))))</f>
        <v/>
      </c>
      <c r="L172" s="121"/>
      <c r="M172" s="121"/>
      <c r="N172" s="121"/>
      <c r="O172" s="121"/>
      <c r="P172" s="56" t="str">
        <f>+IF(K172="","",VLOOKUP(K172,Sheet2!$A$206:$B$210,2,FALSE))</f>
        <v/>
      </c>
    </row>
    <row r="173" spans="2:16" x14ac:dyDescent="0.25">
      <c r="B173" s="27"/>
      <c r="C173" s="7"/>
      <c r="D173" s="7"/>
      <c r="E173" s="7"/>
      <c r="F173" s="7"/>
      <c r="G173" s="7"/>
      <c r="H173" s="7"/>
      <c r="I173" s="7"/>
      <c r="J173" s="7"/>
      <c r="P173" s="56"/>
    </row>
    <row r="174" spans="2:16" x14ac:dyDescent="0.25">
      <c r="B174" s="65"/>
      <c r="C174" s="64" t="s">
        <v>51</v>
      </c>
      <c r="D174" s="64">
        <f>+D39</f>
        <v>2025</v>
      </c>
      <c r="E174" s="64">
        <f>+E39</f>
        <v>2024</v>
      </c>
      <c r="F174" s="64">
        <f>+F39</f>
        <v>2023</v>
      </c>
      <c r="G174" s="64">
        <f>+G39</f>
        <v>2022</v>
      </c>
      <c r="H174" s="64">
        <f>+H39</f>
        <v>2021</v>
      </c>
      <c r="I174" s="64"/>
      <c r="J174" s="64" t="s">
        <v>38</v>
      </c>
      <c r="K174" s="120" t="s">
        <v>40</v>
      </c>
      <c r="L174" s="120"/>
      <c r="M174" s="120"/>
      <c r="N174" s="120"/>
      <c r="O174" s="120"/>
      <c r="P174" s="60" t="s">
        <v>124</v>
      </c>
    </row>
    <row r="175" spans="2:16" x14ac:dyDescent="0.25">
      <c r="B175" s="29" t="s">
        <v>115</v>
      </c>
      <c r="C175" s="7"/>
      <c r="D175" s="7"/>
      <c r="E175" s="7"/>
      <c r="F175" s="7"/>
      <c r="G175" s="7"/>
      <c r="H175" s="7"/>
      <c r="I175" s="7"/>
      <c r="J175" s="5" t="str">
        <f>+IF(D175="","",AVERAGE(D175:H175))</f>
        <v/>
      </c>
      <c r="K175" s="121" t="str">
        <f>+IF(C175="","",VLOOKUP(C175,Sheet2!$A$214:$C$220,3,TRUE))</f>
        <v/>
      </c>
      <c r="L175" s="121"/>
      <c r="M175" s="121"/>
      <c r="N175" s="121"/>
      <c r="O175" s="121"/>
      <c r="P175" s="28" t="str">
        <f>+IF(C175="","",VLOOKUP(C175,Sheet2!$A$214:$C$220,2,TRUE))</f>
        <v/>
      </c>
    </row>
    <row r="176" spans="2:16" x14ac:dyDescent="0.25">
      <c r="B176" s="47"/>
      <c r="C176" s="5" t="str">
        <f>+IF(OR(D175="",C175="",),"",(C175-D175)/D175)</f>
        <v/>
      </c>
      <c r="D176" s="5" t="str">
        <f t="shared" ref="D176" si="58">+IF(OR(E175="",D175="",),"",(D175-E175)/E175)</f>
        <v/>
      </c>
      <c r="E176" s="5" t="str">
        <f t="shared" ref="E176" si="59">+IF(OR(F175="",E175="",),"",(E175-F175)/F175)</f>
        <v/>
      </c>
      <c r="F176" s="5" t="str">
        <f>+IF(OR(G175="",F175="",),"",(F175-G175)/G175)</f>
        <v/>
      </c>
      <c r="G176" s="5" t="str">
        <f>+IF(OR(H175="",G175="",),"",(G175-H175)/H175)</f>
        <v/>
      </c>
      <c r="H176" s="7"/>
      <c r="I176" s="7"/>
      <c r="J176" s="5"/>
      <c r="K176" s="121" t="str">
        <f>+IF(J175="","",VLOOKUP(J175,Sheet2!$A$223:$C$229,3,TRUE))</f>
        <v/>
      </c>
      <c r="L176" s="121"/>
      <c r="M176" s="121"/>
      <c r="N176" s="121"/>
      <c r="O176" s="121"/>
      <c r="P176" s="28" t="str">
        <f>+IF(J175="","",VLOOKUP(J175,Sheet2!$A$223:$C$229,2,TRUE))</f>
        <v/>
      </c>
    </row>
    <row r="177" spans="2:16" x14ac:dyDescent="0.25">
      <c r="B177" s="27"/>
      <c r="C177" s="7"/>
      <c r="D177" s="7"/>
      <c r="E177" s="7"/>
      <c r="F177" s="7"/>
      <c r="G177" s="7"/>
      <c r="H177" s="7"/>
      <c r="I177" s="7"/>
      <c r="J177" s="7"/>
      <c r="K177" s="121" t="str">
        <f>+IF(C175="","",IF(C175&gt;(1.15*$N$203),Sheet2!$A$231,IF(Sheet1!C175&gt;Sheet1!$N$203,Sheet2!$A$232,IF(Sheet1!C175&gt;(0.7*Sheet1!$N$203),Sheet2!$A$233,IF(Sheet1!C175&gt;(0.6*Sheet1!$N$203),Sheet2!$A$234,Sheet2!$A$235)))))</f>
        <v/>
      </c>
      <c r="L177" s="121"/>
      <c r="M177" s="121"/>
      <c r="N177" s="121"/>
      <c r="O177" s="121"/>
      <c r="P177" s="56" t="str">
        <f>+IF(K177="","",VLOOKUP(K177,Sheet2!$A$231:$B$235,2,FALSE))</f>
        <v/>
      </c>
    </row>
    <row r="178" spans="2:16" x14ac:dyDescent="0.25">
      <c r="B178" s="27"/>
      <c r="C178" s="7"/>
      <c r="D178" s="7"/>
      <c r="E178" s="7"/>
      <c r="F178" s="7"/>
      <c r="G178" s="7"/>
      <c r="H178" s="7"/>
      <c r="I178" s="7"/>
      <c r="J178" s="7"/>
      <c r="P178" s="56"/>
    </row>
    <row r="179" spans="2:16" x14ac:dyDescent="0.25">
      <c r="B179" s="65"/>
      <c r="C179" s="64" t="s">
        <v>51</v>
      </c>
      <c r="D179" s="64">
        <f>+D39</f>
        <v>2025</v>
      </c>
      <c r="E179" s="64">
        <f>+E39</f>
        <v>2024</v>
      </c>
      <c r="F179" s="64">
        <f>+F39</f>
        <v>2023</v>
      </c>
      <c r="G179" s="64">
        <f>+G39</f>
        <v>2022</v>
      </c>
      <c r="H179" s="64">
        <f>+H39</f>
        <v>2021</v>
      </c>
      <c r="I179" s="64"/>
      <c r="J179" s="64" t="s">
        <v>38</v>
      </c>
      <c r="K179" s="120" t="s">
        <v>40</v>
      </c>
      <c r="L179" s="120"/>
      <c r="M179" s="120"/>
      <c r="N179" s="120"/>
      <c r="O179" s="120"/>
      <c r="P179" s="60" t="s">
        <v>124</v>
      </c>
    </row>
    <row r="180" spans="2:16" x14ac:dyDescent="0.25">
      <c r="B180" s="29" t="s">
        <v>59</v>
      </c>
      <c r="C180" s="7"/>
      <c r="D180" s="7" t="str">
        <f t="shared" ref="D180:G180" si="60">+IF(D117="","",D117/D52)</f>
        <v/>
      </c>
      <c r="E180" s="7" t="str">
        <f t="shared" si="60"/>
        <v/>
      </c>
      <c r="F180" s="7" t="str">
        <f t="shared" si="60"/>
        <v/>
      </c>
      <c r="G180" s="7" t="str">
        <f t="shared" si="60"/>
        <v/>
      </c>
      <c r="H180" s="7" t="str">
        <f>+IF(H117="","",H117/H52)</f>
        <v/>
      </c>
      <c r="I180" s="7"/>
      <c r="J180" s="7" t="str">
        <f>+IF(D180="","",AVERAGE(D180:H180))</f>
        <v/>
      </c>
      <c r="K180" s="121" t="str">
        <f>+IF(D180="","",VLOOKUP(D180,Sheet2!$A$239:$C$245,3,TRUE))</f>
        <v/>
      </c>
      <c r="L180" s="121"/>
      <c r="M180" s="121"/>
      <c r="N180" s="121"/>
      <c r="O180" s="121"/>
      <c r="P180" s="28" t="str">
        <f>+IF(D180="","",VLOOKUP(D180,Sheet2!$A$239:$C$245,2,TRUE))</f>
        <v/>
      </c>
    </row>
    <row r="181" spans="2:16" x14ac:dyDescent="0.25">
      <c r="B181" s="47" t="s">
        <v>39</v>
      </c>
      <c r="C181" s="5"/>
      <c r="D181" s="5" t="str">
        <f t="shared" ref="D181" si="61">+IF(OR(E180="",D180="",),"",(D180-E180)/E180)</f>
        <v/>
      </c>
      <c r="E181" s="5" t="str">
        <f t="shared" ref="E181" si="62">+IF(OR(F180="",E180="",),"",(E180-F180)/F180)</f>
        <v/>
      </c>
      <c r="F181" s="5" t="str">
        <f>+IF(OR(G180="",F180="",),"",(F180-G180)/G180)</f>
        <v/>
      </c>
      <c r="G181" s="5" t="str">
        <f>+IF(OR(H180="",G180="",),"",(G180-H180)/H180)</f>
        <v/>
      </c>
      <c r="H181" s="7"/>
      <c r="I181" s="7"/>
      <c r="J181" s="5" t="str">
        <f>+IF(D181="","",AVERAGE(D181:G181))</f>
        <v/>
      </c>
      <c r="P181" s="56"/>
    </row>
    <row r="182" spans="2:16" ht="40.5" customHeight="1" x14ac:dyDescent="0.25">
      <c r="B182" s="27"/>
      <c r="C182" s="7"/>
      <c r="D182" s="7"/>
      <c r="E182" s="7"/>
      <c r="F182" s="7"/>
      <c r="G182" s="7"/>
      <c r="H182" s="7"/>
      <c r="I182" s="7"/>
      <c r="J182" s="7"/>
      <c r="P182" s="56"/>
    </row>
    <row r="183" spans="2:16" x14ac:dyDescent="0.25">
      <c r="B183" s="65"/>
      <c r="C183" s="64" t="s">
        <v>51</v>
      </c>
      <c r="D183" s="64">
        <f>+D39</f>
        <v>2025</v>
      </c>
      <c r="E183" s="64">
        <f>+E39</f>
        <v>2024</v>
      </c>
      <c r="F183" s="64">
        <f>+F39</f>
        <v>2023</v>
      </c>
      <c r="G183" s="64">
        <f>+G39</f>
        <v>2022</v>
      </c>
      <c r="H183" s="64">
        <f>+H39</f>
        <v>2021</v>
      </c>
      <c r="I183" s="64"/>
      <c r="J183" s="64" t="s">
        <v>38</v>
      </c>
      <c r="K183" s="120" t="s">
        <v>40</v>
      </c>
      <c r="L183" s="120"/>
      <c r="M183" s="120"/>
      <c r="N183" s="120"/>
      <c r="O183" s="120"/>
      <c r="P183" s="60" t="s">
        <v>124</v>
      </c>
    </row>
    <row r="184" spans="2:16" x14ac:dyDescent="0.25">
      <c r="B184" s="29" t="s">
        <v>41</v>
      </c>
      <c r="C184" s="7"/>
      <c r="D184" s="7"/>
      <c r="E184" s="7"/>
      <c r="F184" s="7"/>
      <c r="G184" s="7"/>
      <c r="H184" s="7"/>
      <c r="I184" s="7"/>
      <c r="J184" s="7" t="str">
        <f>+IF(D184="","",AVERAGE(D184:H184))</f>
        <v/>
      </c>
      <c r="K184" s="121" t="str">
        <f>+IF(C184="","",VLOOKUP(C184,Sheet2!$A$248:$C$252,3,TRUE))</f>
        <v/>
      </c>
      <c r="L184" s="121"/>
      <c r="M184" s="121"/>
      <c r="N184" s="121"/>
      <c r="O184" s="121"/>
      <c r="P184" s="28" t="str">
        <f>+IF(C184="","",VLOOKUP(C184,Sheet2!$A$248:$C$252,2,TRUE))</f>
        <v/>
      </c>
    </row>
    <row r="185" spans="2:16" x14ac:dyDescent="0.25">
      <c r="B185" s="47" t="s">
        <v>39</v>
      </c>
      <c r="C185" s="5" t="str">
        <f>+IF(OR(D184="",C184="",),"",(C184-D184)/D184)</f>
        <v/>
      </c>
      <c r="D185" s="5" t="str">
        <f t="shared" ref="D185" si="63">+IF(OR(E184="",D184="",),"",(D184-E184)/E184)</f>
        <v/>
      </c>
      <c r="E185" s="5" t="str">
        <f t="shared" ref="E185" si="64">+IF(OR(F184="",E184="",),"",(E184-F184)/F184)</f>
        <v/>
      </c>
      <c r="F185" s="5" t="str">
        <f>+IF(OR(G184="",F184="",),"",(F184-G184)/G184)</f>
        <v/>
      </c>
      <c r="G185" s="5" t="str">
        <f>+IF(OR(H184="",G184="",),"",(G184-H184)/H184)</f>
        <v/>
      </c>
      <c r="H185" s="7"/>
      <c r="I185" s="7"/>
      <c r="J185" s="5" t="str">
        <f>+IF(D185="","",AVERAGE(D185:G185))</f>
        <v/>
      </c>
      <c r="P185" s="56"/>
    </row>
    <row r="186" spans="2:16" x14ac:dyDescent="0.25">
      <c r="B186" s="27"/>
      <c r="C186" s="7"/>
      <c r="D186" s="7"/>
      <c r="E186" s="7"/>
      <c r="F186" s="7"/>
      <c r="G186" s="7"/>
      <c r="H186" s="7"/>
      <c r="I186" s="7"/>
      <c r="J186" s="7"/>
      <c r="P186" s="56"/>
    </row>
    <row r="187" spans="2:16" x14ac:dyDescent="0.25">
      <c r="B187" s="65"/>
      <c r="C187" s="64" t="s">
        <v>51</v>
      </c>
      <c r="D187" s="64">
        <f>+D39</f>
        <v>2025</v>
      </c>
      <c r="E187" s="64">
        <f>+E39</f>
        <v>2024</v>
      </c>
      <c r="F187" s="64">
        <f>+F39</f>
        <v>2023</v>
      </c>
      <c r="G187" s="64">
        <f>+G39</f>
        <v>2022</v>
      </c>
      <c r="H187" s="64">
        <f>+H39</f>
        <v>2021</v>
      </c>
      <c r="I187" s="64"/>
      <c r="J187" s="64" t="s">
        <v>38</v>
      </c>
      <c r="K187" s="120" t="s">
        <v>40</v>
      </c>
      <c r="L187" s="120"/>
      <c r="M187" s="120"/>
      <c r="N187" s="120"/>
      <c r="O187" s="120"/>
      <c r="P187" s="60" t="s">
        <v>124</v>
      </c>
    </row>
    <row r="188" spans="2:16" x14ac:dyDescent="0.25">
      <c r="B188" s="29" t="s">
        <v>116</v>
      </c>
      <c r="C188" s="7"/>
      <c r="D188" s="7"/>
      <c r="E188" s="7"/>
      <c r="F188" s="7"/>
      <c r="G188" s="7"/>
      <c r="H188" s="7"/>
      <c r="I188" s="7"/>
      <c r="J188" s="7" t="str">
        <f>+IF(D188="","",AVERAGE(D188:H188))</f>
        <v/>
      </c>
      <c r="K188" s="121" t="str">
        <f>+IF(C188="","",VLOOKUP(C188,Sheet2!$A$255:$C$259,3,TRUE))</f>
        <v/>
      </c>
      <c r="L188" s="121"/>
      <c r="M188" s="121"/>
      <c r="N188" s="121"/>
      <c r="O188" s="121"/>
      <c r="P188" s="28" t="str">
        <f>+IF(C188="","",VLOOKUP(C188,Sheet2!$A$255:$C$259,2,TRUE))</f>
        <v/>
      </c>
    </row>
    <row r="189" spans="2:16" x14ac:dyDescent="0.25">
      <c r="B189" s="47" t="s">
        <v>39</v>
      </c>
      <c r="C189" s="5" t="str">
        <f>+IF(OR(D188="",C188="",),"",(C188-D188)/D188)</f>
        <v/>
      </c>
      <c r="D189" s="5" t="str">
        <f t="shared" ref="D189" si="65">+IF(OR(E188="",D188="",),"",(D188-E188)/E188)</f>
        <v/>
      </c>
      <c r="E189" s="5" t="str">
        <f t="shared" ref="E189" si="66">+IF(OR(F188="",E188="",),"",(E188-F188)/F188)</f>
        <v/>
      </c>
      <c r="F189" s="5" t="str">
        <f>+IF(OR(G188="",F188="",),"",(F188-G188)/G188)</f>
        <v/>
      </c>
      <c r="G189" s="5" t="str">
        <f>+IF(OR(H188="",G188="",),"",(G188-H188)/H188)</f>
        <v/>
      </c>
      <c r="H189" s="7"/>
      <c r="I189" s="7"/>
      <c r="J189" s="5" t="str">
        <f>+IF(D189="","",AVERAGE(D189:G189))</f>
        <v/>
      </c>
      <c r="P189" s="56"/>
    </row>
    <row r="190" spans="2:16" x14ac:dyDescent="0.25">
      <c r="B190" s="27"/>
      <c r="P190" s="56"/>
    </row>
    <row r="191" spans="2:16" x14ac:dyDescent="0.25">
      <c r="B191" s="67" t="s">
        <v>60</v>
      </c>
      <c r="C191" s="64" t="s">
        <v>62</v>
      </c>
      <c r="D191" s="64" t="s">
        <v>63</v>
      </c>
      <c r="E191" s="64" t="s">
        <v>64</v>
      </c>
      <c r="F191" s="64" t="s">
        <v>65</v>
      </c>
      <c r="G191" s="64" t="s">
        <v>66</v>
      </c>
      <c r="H191" s="64"/>
      <c r="I191" s="64"/>
      <c r="J191" s="64" t="s">
        <v>67</v>
      </c>
      <c r="K191" s="64" t="s">
        <v>68</v>
      </c>
      <c r="L191" s="64" t="s">
        <v>42</v>
      </c>
      <c r="M191" s="64" t="s">
        <v>69</v>
      </c>
      <c r="N191" s="64" t="s">
        <v>70</v>
      </c>
      <c r="O191" s="59"/>
      <c r="P191" s="68"/>
    </row>
    <row r="192" spans="2:16" x14ac:dyDescent="0.25">
      <c r="B192" s="57" t="s">
        <v>61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P192" s="56"/>
    </row>
    <row r="193" spans="2:16" x14ac:dyDescent="0.25">
      <c r="B193" s="2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P193" s="56"/>
    </row>
    <row r="194" spans="2:16" x14ac:dyDescent="0.25">
      <c r="B194" s="2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P194" s="56"/>
    </row>
    <row r="195" spans="2:16" x14ac:dyDescent="0.25">
      <c r="B195" s="2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P195" s="56"/>
    </row>
    <row r="196" spans="2:16" x14ac:dyDescent="0.25">
      <c r="B196" s="2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P196" s="56"/>
    </row>
    <row r="197" spans="2:16" x14ac:dyDescent="0.25">
      <c r="B197" s="2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P197" s="56"/>
    </row>
    <row r="198" spans="2:16" x14ac:dyDescent="0.25">
      <c r="B198" s="2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P198" s="56"/>
    </row>
    <row r="199" spans="2:16" x14ac:dyDescent="0.25">
      <c r="B199" s="2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P199" s="56"/>
    </row>
    <row r="200" spans="2:16" x14ac:dyDescent="0.25">
      <c r="B200" s="2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P200" s="56"/>
    </row>
    <row r="201" spans="2:16" x14ac:dyDescent="0.25">
      <c r="B201" s="2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P201" s="56"/>
    </row>
    <row r="202" spans="2:16" x14ac:dyDescent="0.25">
      <c r="B202" s="27"/>
      <c r="P202" s="56"/>
    </row>
    <row r="203" spans="2:16" ht="15.75" thickBot="1" x14ac:dyDescent="0.3">
      <c r="B203" s="69" t="s">
        <v>123</v>
      </c>
      <c r="C203" s="70" t="str">
        <f>+IF(C192="","",AVERAGE(C192:C201))</f>
        <v/>
      </c>
      <c r="D203" s="70" t="str">
        <f>+IF(D192="","",AVERAGE(D192:D201))</f>
        <v/>
      </c>
      <c r="E203" s="70" t="str">
        <f t="shared" ref="E203:G203" si="67">+IF(E192="","",AVERAGE(E192:E201))</f>
        <v/>
      </c>
      <c r="F203" s="70" t="str">
        <f t="shared" si="67"/>
        <v/>
      </c>
      <c r="G203" s="70" t="str">
        <f t="shared" si="67"/>
        <v/>
      </c>
      <c r="H203" s="71"/>
      <c r="I203" s="71"/>
      <c r="J203" s="72" t="str">
        <f t="shared" ref="J203:N203" si="68">+IF(J192="","",AVERAGE(J192:J201))</f>
        <v/>
      </c>
      <c r="K203" s="72" t="str">
        <f t="shared" si="68"/>
        <v/>
      </c>
      <c r="L203" s="72" t="str">
        <f t="shared" si="68"/>
        <v/>
      </c>
      <c r="M203" s="72" t="str">
        <f t="shared" si="68"/>
        <v/>
      </c>
      <c r="N203" s="72" t="str">
        <f t="shared" si="68"/>
        <v/>
      </c>
      <c r="O203" s="73"/>
      <c r="P203" s="74"/>
    </row>
    <row r="204" spans="2:16" ht="15.75" thickBot="1" x14ac:dyDescent="0.3"/>
    <row r="205" spans="2:16" ht="23.25" x14ac:dyDescent="0.25">
      <c r="B205" s="122" t="s">
        <v>71</v>
      </c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4"/>
    </row>
    <row r="206" spans="2:16" x14ac:dyDescent="0.25">
      <c r="B206" s="27" t="s">
        <v>72</v>
      </c>
      <c r="C206" t="str">
        <f>+IF(G22="Growth &amp; Dividend","Yes","No")</f>
        <v>No</v>
      </c>
      <c r="P206" s="56"/>
    </row>
    <row r="207" spans="2:16" x14ac:dyDescent="0.25">
      <c r="B207" s="27"/>
      <c r="P207" s="56"/>
    </row>
    <row r="208" spans="2:16" x14ac:dyDescent="0.25">
      <c r="B208" s="65"/>
      <c r="C208" s="64" t="s">
        <v>51</v>
      </c>
      <c r="D208" s="64">
        <f>+D39</f>
        <v>2025</v>
      </c>
      <c r="E208" s="64">
        <f>+E39</f>
        <v>2024</v>
      </c>
      <c r="F208" s="64">
        <f>+F39</f>
        <v>2023</v>
      </c>
      <c r="G208" s="64">
        <f>+G39</f>
        <v>2022</v>
      </c>
      <c r="H208" s="64">
        <f>+H39</f>
        <v>2021</v>
      </c>
      <c r="I208" s="64"/>
      <c r="J208" s="64" t="s">
        <v>38</v>
      </c>
      <c r="K208" s="120" t="s">
        <v>40</v>
      </c>
      <c r="L208" s="120"/>
      <c r="M208" s="120"/>
      <c r="N208" s="120"/>
      <c r="O208" s="120"/>
      <c r="P208" s="60" t="s">
        <v>124</v>
      </c>
    </row>
    <row r="209" spans="2:16" x14ac:dyDescent="0.25">
      <c r="B209" s="29" t="s">
        <v>276</v>
      </c>
      <c r="C209" s="7"/>
      <c r="D209" s="7"/>
      <c r="E209" s="7"/>
      <c r="F209" s="7"/>
      <c r="G209" s="7"/>
      <c r="H209" s="7"/>
      <c r="I209" s="7"/>
      <c r="J209" s="7"/>
      <c r="P209" s="56"/>
    </row>
    <row r="210" spans="2:16" x14ac:dyDescent="0.25">
      <c r="B210" s="47" t="s">
        <v>39</v>
      </c>
      <c r="C210" s="5" t="str">
        <f>+IF(OR(D209="",C209="",),"",(C209-D209)/D209)</f>
        <v/>
      </c>
      <c r="D210" s="5" t="str">
        <f t="shared" ref="D210" si="69">+IF(OR(E209="",D209="",),"",(D209-E209)/E209)</f>
        <v/>
      </c>
      <c r="E210" s="5" t="str">
        <f t="shared" ref="E210" si="70">+IF(OR(F209="",E209="",),"",(E209-F209)/F209)</f>
        <v/>
      </c>
      <c r="F210" s="5" t="str">
        <f>+IF(OR(G209="",F209="",),"",(F209-G209)/G209)</f>
        <v/>
      </c>
      <c r="G210" s="5" t="str">
        <f>+IF(OR(H209="",G209="",),"",(G209-H209)/H209)</f>
        <v/>
      </c>
      <c r="H210" s="7"/>
      <c r="I210" s="7"/>
      <c r="J210" s="5" t="str">
        <f>+IF(D210="","",AVERAGE(D210:G210))</f>
        <v/>
      </c>
      <c r="P210" s="56"/>
    </row>
    <row r="211" spans="2:16" x14ac:dyDescent="0.25">
      <c r="B211" s="47" t="s">
        <v>73</v>
      </c>
      <c r="C211" s="7"/>
      <c r="D211" s="7" t="str">
        <f>+IF(D64="","",D64+D209)</f>
        <v/>
      </c>
      <c r="E211" s="7" t="str">
        <f t="shared" ref="E211:H211" si="71">+IF(E64="","",E64+E209)</f>
        <v/>
      </c>
      <c r="F211" s="7" t="str">
        <f t="shared" si="71"/>
        <v/>
      </c>
      <c r="G211" s="7" t="str">
        <f t="shared" si="71"/>
        <v/>
      </c>
      <c r="H211" s="7" t="str">
        <f t="shared" si="71"/>
        <v/>
      </c>
      <c r="I211" s="7"/>
      <c r="J211" s="7"/>
      <c r="K211" s="121" t="str">
        <f>+IF(D211="","",IF(D211&gt;0,"Company manages to pay their dividends","Company doesn't manage to pay their dividends"))</f>
        <v/>
      </c>
      <c r="L211" s="121"/>
      <c r="M211" s="121"/>
      <c r="N211" s="121"/>
      <c r="O211" s="121"/>
      <c r="P211" s="28" t="str">
        <f>+IF(D211="","",IF(D211&gt;0,5,0))</f>
        <v/>
      </c>
    </row>
    <row r="212" spans="2:16" x14ac:dyDescent="0.25">
      <c r="B212" s="27"/>
      <c r="C212" s="7"/>
      <c r="D212" s="7"/>
      <c r="E212" s="7"/>
      <c r="F212" s="7"/>
      <c r="G212" s="7"/>
      <c r="H212" s="7"/>
      <c r="I212" s="7"/>
      <c r="J212" s="7"/>
      <c r="P212" s="56"/>
    </row>
    <row r="213" spans="2:16" x14ac:dyDescent="0.25">
      <c r="B213" s="65"/>
      <c r="C213" s="64" t="s">
        <v>51</v>
      </c>
      <c r="D213" s="64">
        <f>+D39</f>
        <v>2025</v>
      </c>
      <c r="E213" s="64">
        <f>+E39</f>
        <v>2024</v>
      </c>
      <c r="F213" s="64">
        <f>+F39</f>
        <v>2023</v>
      </c>
      <c r="G213" s="64">
        <f>+G39</f>
        <v>2022</v>
      </c>
      <c r="H213" s="64">
        <f>+H39</f>
        <v>2021</v>
      </c>
      <c r="I213" s="64"/>
      <c r="J213" s="64" t="s">
        <v>38</v>
      </c>
      <c r="K213" s="120"/>
      <c r="L213" s="120"/>
      <c r="M213" s="120"/>
      <c r="N213" s="120"/>
      <c r="O213" s="120"/>
      <c r="P213" s="68"/>
    </row>
    <row r="214" spans="2:16" x14ac:dyDescent="0.25">
      <c r="B214" s="29" t="s">
        <v>74</v>
      </c>
      <c r="C214" s="7"/>
      <c r="D214" s="7"/>
      <c r="E214" s="7"/>
      <c r="F214" s="7"/>
      <c r="G214" s="7"/>
      <c r="H214" s="7"/>
      <c r="I214" s="7"/>
      <c r="J214" s="7"/>
      <c r="P214" s="56"/>
    </row>
    <row r="215" spans="2:16" x14ac:dyDescent="0.25">
      <c r="B215" s="47" t="s">
        <v>39</v>
      </c>
      <c r="C215" s="5" t="str">
        <f>+IF(OR(D214="",C214="",),"",(C214-D214)/D214)</f>
        <v/>
      </c>
      <c r="D215" s="5" t="str">
        <f t="shared" ref="D215" si="72">+IF(OR(E214="",D214="",),"",(D214-E214)/E214)</f>
        <v/>
      </c>
      <c r="E215" s="5" t="str">
        <f t="shared" ref="E215" si="73">+IF(OR(F214="",E214="",),"",(E214-F214)/F214)</f>
        <v/>
      </c>
      <c r="F215" s="5" t="str">
        <f>+IF(OR(G214="",F214="",),"",(F214-G214)/G214)</f>
        <v/>
      </c>
      <c r="G215" s="5" t="str">
        <f>+IF(OR(H214="",G214="",),"",(G214-H214)/H214)</f>
        <v/>
      </c>
      <c r="H215" s="7"/>
      <c r="I215" s="7"/>
      <c r="J215" s="5" t="str">
        <f>+IF(D215="","",AVERAGE(D215:G215))</f>
        <v/>
      </c>
      <c r="P215" s="56"/>
    </row>
    <row r="216" spans="2:16" x14ac:dyDescent="0.25">
      <c r="B216" s="27"/>
      <c r="C216" s="7"/>
      <c r="D216" s="7"/>
      <c r="E216" s="7"/>
      <c r="F216" s="7"/>
      <c r="G216" s="7"/>
      <c r="H216" s="7"/>
      <c r="I216" s="7"/>
      <c r="J216" s="7"/>
      <c r="P216" s="56"/>
    </row>
    <row r="217" spans="2:16" x14ac:dyDescent="0.25">
      <c r="B217" s="65"/>
      <c r="C217" s="64" t="s">
        <v>51</v>
      </c>
      <c r="D217" s="64">
        <f>+D39</f>
        <v>2025</v>
      </c>
      <c r="E217" s="64">
        <f>+E39</f>
        <v>2024</v>
      </c>
      <c r="F217" s="64">
        <f>+F39</f>
        <v>2023</v>
      </c>
      <c r="G217" s="64">
        <f>+G39</f>
        <v>2022</v>
      </c>
      <c r="H217" s="64">
        <f>+H39</f>
        <v>2021</v>
      </c>
      <c r="I217" s="64"/>
      <c r="J217" s="64" t="s">
        <v>38</v>
      </c>
      <c r="K217" s="120" t="s">
        <v>40</v>
      </c>
      <c r="L217" s="120"/>
      <c r="M217" s="120"/>
      <c r="N217" s="120"/>
      <c r="O217" s="120"/>
      <c r="P217" s="60" t="s">
        <v>124</v>
      </c>
    </row>
    <row r="218" spans="2:16" x14ac:dyDescent="0.25">
      <c r="B218" s="29" t="s">
        <v>75</v>
      </c>
      <c r="C218" s="7"/>
      <c r="D218" s="7"/>
      <c r="E218" s="7"/>
      <c r="F218" s="7"/>
      <c r="G218" s="7"/>
      <c r="H218" s="7"/>
      <c r="I218" s="7"/>
      <c r="J218" s="7"/>
      <c r="K218" s="121" t="str">
        <f>+IF(C218="","",IF(C218&gt;60%,"Company's dividends at risk of being cut","Company's dividends are not at risk of being cut"))</f>
        <v/>
      </c>
      <c r="L218" s="121"/>
      <c r="M218" s="121"/>
      <c r="N218" s="121"/>
      <c r="O218" s="121"/>
      <c r="P218" s="28" t="str">
        <f>+IF(C218="","",IF(C218&gt;60%,0,5))</f>
        <v/>
      </c>
    </row>
    <row r="219" spans="2:16" x14ac:dyDescent="0.25">
      <c r="B219" s="47" t="s">
        <v>39</v>
      </c>
      <c r="C219" s="5" t="str">
        <f>+IF(OR(D218="",C218="",),"",(C218-D218)/D218)</f>
        <v/>
      </c>
      <c r="D219" s="5" t="str">
        <f t="shared" ref="D219" si="74">+IF(OR(E218="",D218="",),"",(D218-E218)/E218)</f>
        <v/>
      </c>
      <c r="E219" s="5" t="str">
        <f t="shared" ref="E219" si="75">+IF(OR(F218="",E218="",),"",(E218-F218)/F218)</f>
        <v/>
      </c>
      <c r="F219" s="5" t="str">
        <f>+IF(OR(G218="",F218="",),"",(F218-G218)/G218)</f>
        <v/>
      </c>
      <c r="G219" s="5" t="str">
        <f>+IF(OR(H218="",G218="",),"",(G218-H218)/H218)</f>
        <v/>
      </c>
      <c r="H219" s="7"/>
      <c r="I219" s="7"/>
      <c r="J219" s="5" t="str">
        <f>+IF(D219="","",AVERAGE(D219:G219))</f>
        <v/>
      </c>
      <c r="P219" s="56"/>
    </row>
    <row r="220" spans="2:16" x14ac:dyDescent="0.25">
      <c r="B220" s="27"/>
      <c r="C220" s="7"/>
      <c r="D220" s="7"/>
      <c r="E220" s="7"/>
      <c r="F220" s="7"/>
      <c r="G220" s="7"/>
      <c r="H220" s="7"/>
      <c r="I220" s="7"/>
      <c r="J220" s="7"/>
      <c r="P220" s="56"/>
    </row>
    <row r="221" spans="2:16" x14ac:dyDescent="0.25">
      <c r="B221" s="65"/>
      <c r="C221" s="64" t="s">
        <v>51</v>
      </c>
      <c r="D221" s="64">
        <f>+D43</f>
        <v>2025</v>
      </c>
      <c r="E221" s="64">
        <f>+E43</f>
        <v>2024</v>
      </c>
      <c r="F221" s="64">
        <f>+F43</f>
        <v>2023</v>
      </c>
      <c r="G221" s="64">
        <f>+G43</f>
        <v>2022</v>
      </c>
      <c r="H221" s="64">
        <f>+H43</f>
        <v>2021</v>
      </c>
      <c r="I221" s="64"/>
      <c r="J221" s="64" t="s">
        <v>38</v>
      </c>
      <c r="K221" s="120" t="s">
        <v>40</v>
      </c>
      <c r="L221" s="120"/>
      <c r="M221" s="120"/>
      <c r="N221" s="120"/>
      <c r="O221" s="120"/>
      <c r="P221" s="60" t="s">
        <v>124</v>
      </c>
    </row>
    <row r="222" spans="2:16" ht="15.75" thickBot="1" x14ac:dyDescent="0.3">
      <c r="B222" s="30" t="s">
        <v>121</v>
      </c>
      <c r="C222" s="43"/>
      <c r="D222" s="43"/>
      <c r="E222" s="43"/>
      <c r="F222" s="43"/>
      <c r="G222" s="43"/>
      <c r="H222" s="43"/>
      <c r="I222" s="43"/>
      <c r="J222" s="50" t="str">
        <f>+IF(D222="","",AVERAGE(D222:H222))</f>
        <v/>
      </c>
      <c r="K222" s="136" t="str">
        <f>+IF(J222="","",VLOOKUP(J222,Sheet2!$A$262:$C$268,3,TRUE))</f>
        <v/>
      </c>
      <c r="L222" s="136"/>
      <c r="M222" s="136"/>
      <c r="N222" s="136"/>
      <c r="O222" s="136"/>
      <c r="P222" s="32" t="str">
        <f>+IF(J222="","",VLOOKUP(J222,Sheet2!$A$262:$C$268,2,TRUE))</f>
        <v/>
      </c>
    </row>
    <row r="223" spans="2:16" ht="15.75" thickBot="1" x14ac:dyDescent="0.3"/>
    <row r="224" spans="2:16" ht="23.25" x14ac:dyDescent="0.25">
      <c r="B224" s="122" t="s">
        <v>79</v>
      </c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4"/>
    </row>
    <row r="225" spans="2:16" x14ac:dyDescent="0.25">
      <c r="B225" s="27"/>
      <c r="P225" s="56"/>
    </row>
    <row r="226" spans="2:16" x14ac:dyDescent="0.25">
      <c r="B226" s="65"/>
      <c r="C226" s="64" t="s">
        <v>51</v>
      </c>
      <c r="D226" s="64">
        <f>+D39</f>
        <v>2025</v>
      </c>
      <c r="E226" s="64">
        <f t="shared" ref="E226:H226" si="76">+E39</f>
        <v>2024</v>
      </c>
      <c r="F226" s="64">
        <f t="shared" si="76"/>
        <v>2023</v>
      </c>
      <c r="G226" s="64">
        <f t="shared" si="76"/>
        <v>2022</v>
      </c>
      <c r="H226" s="64">
        <f t="shared" si="76"/>
        <v>2021</v>
      </c>
      <c r="I226" s="63"/>
      <c r="J226" s="63"/>
      <c r="K226" s="120" t="s">
        <v>40</v>
      </c>
      <c r="L226" s="120"/>
      <c r="M226" s="120"/>
      <c r="N226" s="120"/>
      <c r="O226" s="120"/>
      <c r="P226" s="60" t="s">
        <v>124</v>
      </c>
    </row>
    <row r="227" spans="2:16" x14ac:dyDescent="0.25">
      <c r="B227" s="29" t="s">
        <v>120</v>
      </c>
      <c r="C227" s="6" t="str">
        <f>+IF(D227="","",D227)</f>
        <v/>
      </c>
      <c r="D227" s="7"/>
      <c r="E227" s="7"/>
      <c r="F227" s="7"/>
      <c r="G227" s="7"/>
      <c r="H227" s="7"/>
      <c r="P227" s="56"/>
    </row>
    <row r="228" spans="2:16" x14ac:dyDescent="0.25">
      <c r="B228" s="47" t="s">
        <v>76</v>
      </c>
      <c r="C228" t="str">
        <f>+IF(AND(C227="",D227=""),"",IF(C227="",D227*0.8,C227*0.8))</f>
        <v/>
      </c>
      <c r="K228" s="121" t="str">
        <f>+IF(C228="","",IF(E11&gt;1.5*C228,Sheet2!A274,IF(E11&gt;1.2*C228,Sheet2!A273,Sheet2!A272)))</f>
        <v/>
      </c>
      <c r="L228" s="121"/>
      <c r="M228" s="121"/>
      <c r="N228" s="121"/>
      <c r="O228" s="121"/>
      <c r="P228" s="28" t="str">
        <f>+IF(K228="","",VLOOKUP(K228,Sheet2!$A$272:$B$274,2,FALSE))</f>
        <v/>
      </c>
    </row>
    <row r="229" spans="2:16" x14ac:dyDescent="0.25">
      <c r="B229" s="47"/>
      <c r="K229" s="7"/>
      <c r="L229" s="7"/>
      <c r="M229" s="7"/>
      <c r="N229" s="7"/>
      <c r="O229" s="7"/>
      <c r="P229" s="28"/>
    </row>
    <row r="230" spans="2:16" x14ac:dyDescent="0.25">
      <c r="B230" s="65"/>
      <c r="C230" s="59"/>
      <c r="D230" s="59"/>
      <c r="E230" s="59"/>
      <c r="F230" s="59"/>
      <c r="G230" s="59"/>
      <c r="H230" s="59"/>
      <c r="I230" s="59"/>
      <c r="J230" s="59"/>
      <c r="K230" s="120" t="s">
        <v>40</v>
      </c>
      <c r="L230" s="120"/>
      <c r="M230" s="120"/>
      <c r="N230" s="120"/>
      <c r="O230" s="120"/>
      <c r="P230" s="60" t="s">
        <v>124</v>
      </c>
    </row>
    <row r="231" spans="2:16" x14ac:dyDescent="0.25">
      <c r="B231" s="29" t="s">
        <v>77</v>
      </c>
      <c r="P231" s="56"/>
    </row>
    <row r="232" spans="2:16" x14ac:dyDescent="0.25">
      <c r="B232" s="47" t="s">
        <v>78</v>
      </c>
      <c r="C232" s="7" t="str">
        <f>+IF(J139="","",J139*0.7)</f>
        <v/>
      </c>
      <c r="P232" s="56"/>
    </row>
    <row r="233" spans="2:16" ht="15.75" thickBot="1" x14ac:dyDescent="0.3">
      <c r="B233" s="49" t="s">
        <v>285</v>
      </c>
      <c r="C233" s="31" t="str">
        <f>+IF(C232="","",C232*D133)</f>
        <v/>
      </c>
      <c r="D233" s="31"/>
      <c r="E233" s="31"/>
      <c r="F233" s="31"/>
      <c r="G233" s="31"/>
      <c r="H233" s="31"/>
      <c r="I233" s="31"/>
      <c r="J233" s="31"/>
      <c r="K233" s="136" t="str">
        <f>+IF(C233="","",IF(C233&gt;$E$11*1.5,Sheet2!$A$272,IF(C233&gt;$E$11*1.1,Sheet2!$A$273,Sheet2!$A$274)))</f>
        <v/>
      </c>
      <c r="L233" s="136"/>
      <c r="M233" s="136"/>
      <c r="N233" s="136"/>
      <c r="O233" s="136"/>
      <c r="P233" s="32" t="str">
        <f>+IF(K233="","",VLOOKUP(K233,Sheet2!$A$272:$B$274,2,FALSE))</f>
        <v/>
      </c>
    </row>
    <row r="234" spans="2:16" ht="15.75" thickBot="1" x14ac:dyDescent="0.3">
      <c r="B234" s="3"/>
      <c r="K234" s="7"/>
      <c r="L234" s="7"/>
      <c r="M234" s="7"/>
      <c r="N234" s="7"/>
      <c r="O234" s="7"/>
      <c r="P234" s="10"/>
    </row>
    <row r="235" spans="2:16" ht="15.75" hidden="1" thickBot="1" x14ac:dyDescent="0.3">
      <c r="K235" s="135" t="s">
        <v>40</v>
      </c>
      <c r="L235" s="135"/>
      <c r="M235" s="135"/>
      <c r="N235" s="135"/>
      <c r="O235" s="135"/>
    </row>
    <row r="236" spans="2:16" ht="15.75" hidden="1" thickBot="1" x14ac:dyDescent="0.3">
      <c r="B236" s="1" t="s">
        <v>80</v>
      </c>
    </row>
    <row r="237" spans="2:16" ht="15.75" hidden="1" thickBot="1" x14ac:dyDescent="0.3">
      <c r="K237" s="135" t="s">
        <v>40</v>
      </c>
      <c r="L237" s="135"/>
      <c r="M237" s="135"/>
      <c r="N237" s="135"/>
      <c r="O237" s="135"/>
    </row>
    <row r="238" spans="2:16" ht="15.75" hidden="1" thickBot="1" x14ac:dyDescent="0.3">
      <c r="B238" s="1" t="s">
        <v>81</v>
      </c>
    </row>
    <row r="239" spans="2:16" ht="15.75" hidden="1" thickBot="1" x14ac:dyDescent="0.3">
      <c r="K239" s="135" t="s">
        <v>40</v>
      </c>
      <c r="L239" s="135"/>
      <c r="M239" s="135"/>
      <c r="N239" s="135"/>
      <c r="O239" s="135"/>
    </row>
    <row r="240" spans="2:16" ht="15.75" hidden="1" thickBot="1" x14ac:dyDescent="0.3">
      <c r="B240" s="1" t="s">
        <v>82</v>
      </c>
    </row>
    <row r="241" spans="2:38" ht="15.75" hidden="1" thickBot="1" x14ac:dyDescent="0.3">
      <c r="K241" s="135" t="s">
        <v>40</v>
      </c>
      <c r="L241" s="135"/>
      <c r="M241" s="135"/>
      <c r="N241" s="135"/>
      <c r="O241" s="135"/>
    </row>
    <row r="242" spans="2:38" ht="15.75" hidden="1" thickBot="1" x14ac:dyDescent="0.3">
      <c r="B242" s="1" t="s">
        <v>83</v>
      </c>
    </row>
    <row r="243" spans="2:38" ht="15.75" hidden="1" thickBot="1" x14ac:dyDescent="0.3"/>
    <row r="244" spans="2:38" ht="15.75" hidden="1" thickBot="1" x14ac:dyDescent="0.3"/>
    <row r="245" spans="2:38" ht="15.75" hidden="1" thickBot="1" x14ac:dyDescent="0.3"/>
    <row r="246" spans="2:38" ht="23.25" x14ac:dyDescent="0.25">
      <c r="B246" s="158" t="s">
        <v>322</v>
      </c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60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</row>
    <row r="247" spans="2:38" ht="15.75" x14ac:dyDescent="0.25">
      <c r="B247" s="108" t="s">
        <v>290</v>
      </c>
      <c r="C247" s="109" t="s">
        <v>124</v>
      </c>
      <c r="D247" s="103" t="s">
        <v>321</v>
      </c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110"/>
      <c r="U247" s="119" t="s">
        <v>321</v>
      </c>
      <c r="Y247" s="106"/>
      <c r="Z247" s="106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106"/>
    </row>
    <row r="248" spans="2:38" x14ac:dyDescent="0.25">
      <c r="B248" s="111" t="s">
        <v>288</v>
      </c>
      <c r="C248" s="8" t="str">
        <f>IFERROR(_xlfn.IFNA(P13,0),0)</f>
        <v/>
      </c>
      <c r="D248" s="104" t="str">
        <f>+IF(C248="","",U248)</f>
        <v/>
      </c>
      <c r="P248" s="112"/>
      <c r="U248" s="119">
        <v>0.01</v>
      </c>
      <c r="Y248" s="106"/>
      <c r="Z248" s="106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106"/>
    </row>
    <row r="249" spans="2:38" x14ac:dyDescent="0.25">
      <c r="B249" s="111" t="s">
        <v>133</v>
      </c>
      <c r="C249" s="8" t="str">
        <f>IFERROR(_xlfn.IFNA(P15,0),0)</f>
        <v/>
      </c>
      <c r="D249" s="104" t="str">
        <f t="shared" ref="D249:D251" si="77">+IF(C249="","",U249)</f>
        <v/>
      </c>
      <c r="P249" s="112"/>
      <c r="U249" s="119">
        <v>0.02</v>
      </c>
      <c r="Y249" s="106"/>
      <c r="Z249" s="106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106"/>
    </row>
    <row r="250" spans="2:38" x14ac:dyDescent="0.25">
      <c r="B250" s="111" t="s">
        <v>27</v>
      </c>
      <c r="C250" s="8" t="str">
        <f>IFERROR(_xlfn.IFNA(P33,0),0)</f>
        <v/>
      </c>
      <c r="D250" s="104" t="str">
        <f t="shared" si="77"/>
        <v/>
      </c>
      <c r="P250" s="112"/>
      <c r="U250" s="119">
        <v>1.4999999999999999E-2</v>
      </c>
      <c r="Y250" s="106"/>
      <c r="Z250" s="106"/>
      <c r="AA250" s="79"/>
      <c r="AB250" s="79" t="s">
        <v>296</v>
      </c>
      <c r="AC250" s="79" t="s">
        <v>297</v>
      </c>
      <c r="AD250" s="79" t="s">
        <v>298</v>
      </c>
      <c r="AE250" s="79"/>
      <c r="AF250" s="79"/>
      <c r="AG250" s="79"/>
      <c r="AH250" s="79"/>
      <c r="AI250" s="79"/>
      <c r="AJ250" s="79"/>
      <c r="AK250" s="79"/>
      <c r="AL250" s="106"/>
    </row>
    <row r="251" spans="2:38" x14ac:dyDescent="0.25">
      <c r="B251" s="111" t="s">
        <v>320</v>
      </c>
      <c r="C251" s="8" t="str">
        <f>IFERROR(_xlfn.IFNA(P35,0),0)</f>
        <v/>
      </c>
      <c r="D251" s="104" t="str">
        <f t="shared" si="77"/>
        <v/>
      </c>
      <c r="P251" s="112"/>
      <c r="U251" s="119">
        <v>2.5000000000000001E-2</v>
      </c>
      <c r="Y251" s="106"/>
      <c r="Z251" s="106"/>
      <c r="AA251" s="79">
        <v>1</v>
      </c>
      <c r="AB251" s="79">
        <f>IF($K$253&gt;=0.6,1,0)</f>
        <v>0</v>
      </c>
      <c r="AC251" s="79">
        <f>IF(AND($K$253&gt;=0.49,$K$253&lt;0.6),1,0)</f>
        <v>0</v>
      </c>
      <c r="AD251" s="79">
        <f>IF($K$253&lt;0.49,1,0)</f>
        <v>1</v>
      </c>
      <c r="AE251" s="79"/>
      <c r="AF251" s="79"/>
      <c r="AG251" s="79"/>
      <c r="AH251" s="79"/>
      <c r="AI251" s="79"/>
      <c r="AJ251" s="79"/>
      <c r="AK251" s="79"/>
      <c r="AL251" s="106"/>
    </row>
    <row r="252" spans="2:38" x14ac:dyDescent="0.25">
      <c r="B252" s="92"/>
      <c r="C252" s="7"/>
      <c r="D252" s="104"/>
      <c r="K252" s="113">
        <f>100%-K253</f>
        <v>1</v>
      </c>
      <c r="P252" s="112"/>
      <c r="U252" s="119"/>
      <c r="Y252" s="106"/>
      <c r="Z252" s="106"/>
      <c r="AA252" s="79">
        <v>1</v>
      </c>
      <c r="AB252" s="79">
        <f t="shared" ref="AB252:AB271" si="78">IF($K$253&gt;=0.6,1,0)</f>
        <v>0</v>
      </c>
      <c r="AC252" s="79">
        <f t="shared" ref="AC252:AC271" si="79">IF(AND($K$253&gt;=0.49,$K$253&lt;0.6),1,0)</f>
        <v>0</v>
      </c>
      <c r="AD252" s="79">
        <f t="shared" ref="AD252:AD271" si="80">IF($K$253&lt;0.49,1,0)</f>
        <v>1</v>
      </c>
      <c r="AE252" s="79"/>
      <c r="AF252" s="79"/>
      <c r="AG252" s="79"/>
      <c r="AH252" s="79"/>
      <c r="AI252" s="79"/>
      <c r="AJ252" s="79"/>
      <c r="AK252" s="79"/>
      <c r="AL252" s="106"/>
    </row>
    <row r="253" spans="2:38" ht="15.75" x14ac:dyDescent="0.25">
      <c r="B253" s="108" t="s">
        <v>44</v>
      </c>
      <c r="C253" s="109"/>
      <c r="D253" s="103" t="s">
        <v>321</v>
      </c>
      <c r="E253" s="59"/>
      <c r="F253" s="59"/>
      <c r="G253" s="59"/>
      <c r="H253" s="59"/>
      <c r="I253" s="59"/>
      <c r="J253" s="63"/>
      <c r="K253" s="78">
        <f>+IF(C248="",0,SUMPRODUCT(C248:C295,D248:D295)/(5*SUM(D248:D295)))</f>
        <v>0</v>
      </c>
      <c r="L253" s="59"/>
      <c r="M253" s="59"/>
      <c r="N253" s="59"/>
      <c r="O253" s="59"/>
      <c r="P253" s="110"/>
      <c r="U253" s="119"/>
      <c r="Y253" s="106"/>
      <c r="Z253" s="106"/>
      <c r="AA253" s="79">
        <v>1</v>
      </c>
      <c r="AB253" s="79">
        <f t="shared" si="78"/>
        <v>0</v>
      </c>
      <c r="AC253" s="79">
        <f t="shared" si="79"/>
        <v>0</v>
      </c>
      <c r="AD253" s="79">
        <f t="shared" si="80"/>
        <v>1</v>
      </c>
      <c r="AE253" s="79"/>
      <c r="AF253" s="79"/>
      <c r="AG253" s="79"/>
      <c r="AH253" s="79"/>
      <c r="AI253" s="79"/>
      <c r="AJ253" s="79"/>
      <c r="AK253" s="79"/>
      <c r="AL253" s="106"/>
    </row>
    <row r="254" spans="2:38" x14ac:dyDescent="0.25">
      <c r="B254" s="111" t="s">
        <v>86</v>
      </c>
      <c r="C254" s="8" t="str">
        <f>+IFERROR(_xlfn.IFNA(IF(P40="","",AVERAGE(P40:P41)),0),0)</f>
        <v/>
      </c>
      <c r="D254" s="104" t="str">
        <f t="shared" ref="D254:D265" si="81">+IF(C254="","",U254)</f>
        <v/>
      </c>
      <c r="E254" s="155" t="s">
        <v>299</v>
      </c>
      <c r="F254" s="155"/>
      <c r="G254" s="155"/>
      <c r="P254" s="112"/>
      <c r="U254" s="119">
        <v>0.03</v>
      </c>
      <c r="Y254" s="106"/>
      <c r="Z254" s="106"/>
      <c r="AA254" s="79">
        <v>1</v>
      </c>
      <c r="AB254" s="79">
        <f t="shared" si="78"/>
        <v>0</v>
      </c>
      <c r="AC254" s="79">
        <f t="shared" si="79"/>
        <v>0</v>
      </c>
      <c r="AD254" s="79">
        <f t="shared" si="80"/>
        <v>1</v>
      </c>
      <c r="AE254" s="79"/>
      <c r="AF254" s="79"/>
      <c r="AG254" s="79"/>
      <c r="AH254" s="79"/>
      <c r="AI254" s="79"/>
      <c r="AJ254" s="79"/>
      <c r="AK254" s="79"/>
      <c r="AL254" s="106"/>
    </row>
    <row r="255" spans="2:38" x14ac:dyDescent="0.25">
      <c r="B255" s="111" t="s">
        <v>87</v>
      </c>
      <c r="C255" s="8" t="str">
        <f>+IFERROR(_xlfn.IFNA(IF(P44="","",AVERAGE(P44:P45)),0),0)</f>
        <v/>
      </c>
      <c r="D255" s="104" t="str">
        <f t="shared" si="81"/>
        <v/>
      </c>
      <c r="E255" s="155"/>
      <c r="F255" s="155"/>
      <c r="G255" s="155"/>
      <c r="P255" s="112"/>
      <c r="U255" s="119">
        <v>0.01</v>
      </c>
      <c r="Y255" s="106"/>
      <c r="Z255" s="106"/>
      <c r="AA255" s="79">
        <v>1</v>
      </c>
      <c r="AB255" s="79">
        <f t="shared" si="78"/>
        <v>0</v>
      </c>
      <c r="AC255" s="79">
        <f t="shared" si="79"/>
        <v>0</v>
      </c>
      <c r="AD255" s="79">
        <f t="shared" si="80"/>
        <v>1</v>
      </c>
      <c r="AE255" s="79"/>
      <c r="AF255" s="79"/>
      <c r="AG255" s="79"/>
      <c r="AH255" s="79"/>
      <c r="AI255" s="79"/>
      <c r="AJ255" s="79"/>
      <c r="AK255" s="79"/>
      <c r="AL255" s="106"/>
    </row>
    <row r="256" spans="2:38" x14ac:dyDescent="0.25">
      <c r="B256" s="111" t="s">
        <v>91</v>
      </c>
      <c r="C256" s="8" t="str">
        <f>+IFERROR(_xlfn.IFNA(IF(P60="","",AVERAGE(P60:P61)),0),0)</f>
        <v/>
      </c>
      <c r="D256" s="104" t="str">
        <f t="shared" si="81"/>
        <v/>
      </c>
      <c r="E256" s="155"/>
      <c r="F256" s="155"/>
      <c r="G256" s="155"/>
      <c r="J256" s="156">
        <f>+K253</f>
        <v>0</v>
      </c>
      <c r="K256" s="157"/>
      <c r="P256" s="112"/>
      <c r="U256" s="119">
        <v>0.05</v>
      </c>
      <c r="Y256" s="106"/>
      <c r="Z256" s="106"/>
      <c r="AA256" s="79">
        <v>1</v>
      </c>
      <c r="AB256" s="79">
        <f t="shared" si="78"/>
        <v>0</v>
      </c>
      <c r="AC256" s="79">
        <f t="shared" si="79"/>
        <v>0</v>
      </c>
      <c r="AD256" s="79">
        <f t="shared" si="80"/>
        <v>1</v>
      </c>
      <c r="AE256" s="79"/>
      <c r="AF256" s="79"/>
      <c r="AG256" s="79"/>
      <c r="AH256" s="79"/>
      <c r="AI256" s="79"/>
      <c r="AJ256" s="79"/>
      <c r="AK256" s="79"/>
      <c r="AL256" s="106"/>
    </row>
    <row r="257" spans="2:38" x14ac:dyDescent="0.25">
      <c r="B257" s="111" t="s">
        <v>92</v>
      </c>
      <c r="C257" s="8" t="str">
        <f>+IFERROR(_xlfn.IFNA(IF(P64="","",AVERAGE(P64:P65)),0),0)</f>
        <v/>
      </c>
      <c r="D257" s="104" t="str">
        <f t="shared" si="81"/>
        <v/>
      </c>
      <c r="E257" s="155"/>
      <c r="F257" s="155"/>
      <c r="G257" s="155"/>
      <c r="J257" s="157"/>
      <c r="K257" s="157"/>
      <c r="P257" s="112"/>
      <c r="U257" s="119">
        <v>0.05</v>
      </c>
      <c r="Y257" s="106"/>
      <c r="Z257" s="106"/>
      <c r="AA257" s="79">
        <v>1</v>
      </c>
      <c r="AB257" s="79">
        <f t="shared" si="78"/>
        <v>0</v>
      </c>
      <c r="AC257" s="79">
        <f t="shared" si="79"/>
        <v>0</v>
      </c>
      <c r="AD257" s="79">
        <f t="shared" si="80"/>
        <v>1</v>
      </c>
      <c r="AE257" s="79"/>
      <c r="AF257" s="79" t="s">
        <v>296</v>
      </c>
      <c r="AG257" s="80">
        <f>+IF(K253&gt;=0.6,K253,0)</f>
        <v>0</v>
      </c>
      <c r="AH257" s="80">
        <f>+IF(K253&gt;=0.49,1-K253,0)</f>
        <v>0</v>
      </c>
      <c r="AI257" s="79"/>
      <c r="AJ257" s="79"/>
      <c r="AK257" s="79"/>
      <c r="AL257" s="106"/>
    </row>
    <row r="258" spans="2:38" x14ac:dyDescent="0.25">
      <c r="B258" s="111" t="s">
        <v>93</v>
      </c>
      <c r="C258" s="8" t="str">
        <f>+IFERROR(_xlfn.IFNA(IF(P68="","",AVERAGE(P68:P69)),0),0)</f>
        <v/>
      </c>
      <c r="D258" s="104" t="str">
        <f t="shared" si="81"/>
        <v/>
      </c>
      <c r="E258" s="155"/>
      <c r="F258" s="155"/>
      <c r="G258" s="155"/>
      <c r="P258" s="112"/>
      <c r="U258" s="119">
        <v>0.01</v>
      </c>
      <c r="Y258" s="106"/>
      <c r="Z258" s="106"/>
      <c r="AA258" s="79">
        <v>1</v>
      </c>
      <c r="AB258" s="79">
        <f t="shared" si="78"/>
        <v>0</v>
      </c>
      <c r="AC258" s="79">
        <f t="shared" si="79"/>
        <v>0</v>
      </c>
      <c r="AD258" s="79">
        <f t="shared" si="80"/>
        <v>1</v>
      </c>
      <c r="AE258" s="79"/>
      <c r="AF258" s="79" t="s">
        <v>297</v>
      </c>
      <c r="AG258" s="80">
        <f>IF(AND(K253&gt;=0.49,K253&lt;0.6),K253,0)</f>
        <v>0</v>
      </c>
      <c r="AH258" s="80">
        <f>IF(AND(K253&gt;=0.49,K253&lt;0.6),1-K253,0)</f>
        <v>0</v>
      </c>
      <c r="AI258" s="79"/>
      <c r="AJ258" s="79"/>
      <c r="AK258" s="79"/>
      <c r="AL258" s="106"/>
    </row>
    <row r="259" spans="2:38" x14ac:dyDescent="0.25">
      <c r="B259" s="111" t="s">
        <v>96</v>
      </c>
      <c r="C259" s="8" t="str">
        <f>+IFERROR(_xlfn.IFNA(IF(P80="","",AVERAGE(P80:P81)),0),0)</f>
        <v/>
      </c>
      <c r="D259" s="104" t="str">
        <f t="shared" si="81"/>
        <v/>
      </c>
      <c r="E259" s="155"/>
      <c r="F259" s="155"/>
      <c r="G259" s="155"/>
      <c r="P259" s="112"/>
      <c r="U259" s="119">
        <v>0.02</v>
      </c>
      <c r="Y259" s="106"/>
      <c r="Z259" s="106"/>
      <c r="AA259" s="79">
        <v>1</v>
      </c>
      <c r="AB259" s="79">
        <f t="shared" si="78"/>
        <v>0</v>
      </c>
      <c r="AC259" s="79">
        <f t="shared" si="79"/>
        <v>0</v>
      </c>
      <c r="AD259" s="79">
        <f t="shared" si="80"/>
        <v>1</v>
      </c>
      <c r="AE259" s="79"/>
      <c r="AF259" s="79" t="s">
        <v>298</v>
      </c>
      <c r="AG259" s="80">
        <f>IF(K253&lt;0.49,K253,0)</f>
        <v>0</v>
      </c>
      <c r="AH259" s="80">
        <f>IF(K253&lt;0.49,1-K253,0)</f>
        <v>1</v>
      </c>
      <c r="AI259" s="79"/>
      <c r="AJ259" s="79"/>
      <c r="AK259" s="79"/>
      <c r="AL259" s="106"/>
    </row>
    <row r="260" spans="2:38" x14ac:dyDescent="0.25">
      <c r="B260" s="111" t="s">
        <v>97</v>
      </c>
      <c r="C260" s="8" t="str">
        <f>+IFERROR(_xlfn.IFNA(IF(P84="","",AVERAGE(P84:P85)),0),0)</f>
        <v/>
      </c>
      <c r="D260" s="104" t="str">
        <f t="shared" si="81"/>
        <v/>
      </c>
      <c r="P260" s="112"/>
      <c r="U260" s="119">
        <v>0.01</v>
      </c>
      <c r="Y260" s="106"/>
      <c r="Z260" s="106"/>
      <c r="AA260" s="79">
        <v>1</v>
      </c>
      <c r="AB260" s="79">
        <f t="shared" si="78"/>
        <v>0</v>
      </c>
      <c r="AC260" s="79">
        <f t="shared" si="79"/>
        <v>0</v>
      </c>
      <c r="AD260" s="79">
        <f t="shared" si="80"/>
        <v>1</v>
      </c>
      <c r="AE260" s="79"/>
      <c r="AF260" s="79"/>
      <c r="AG260" s="79"/>
      <c r="AH260" s="79"/>
      <c r="AI260" s="79"/>
      <c r="AJ260" s="79"/>
      <c r="AK260" s="79"/>
      <c r="AL260" s="106"/>
    </row>
    <row r="261" spans="2:38" x14ac:dyDescent="0.25">
      <c r="B261" s="111" t="s">
        <v>99</v>
      </c>
      <c r="C261" s="8" t="str">
        <f>+IFERROR(_xlfn.IFNA(IF(P90="","",AVERAGE(P90:P91)),0),0)</f>
        <v/>
      </c>
      <c r="D261" s="104" t="str">
        <f t="shared" si="81"/>
        <v/>
      </c>
      <c r="P261" s="112"/>
      <c r="U261" s="119">
        <v>0.02</v>
      </c>
      <c r="Y261" s="106"/>
      <c r="Z261" s="106"/>
      <c r="AA261" s="79">
        <v>1</v>
      </c>
      <c r="AB261" s="79">
        <f t="shared" si="78"/>
        <v>0</v>
      </c>
      <c r="AC261" s="79">
        <f t="shared" si="79"/>
        <v>0</v>
      </c>
      <c r="AD261" s="79">
        <f t="shared" si="80"/>
        <v>1</v>
      </c>
      <c r="AE261" s="79"/>
      <c r="AF261" s="79"/>
      <c r="AG261" s="79"/>
      <c r="AH261" s="79"/>
      <c r="AI261" s="79"/>
      <c r="AJ261" s="79"/>
      <c r="AK261" s="79"/>
      <c r="AL261" s="106"/>
    </row>
    <row r="262" spans="2:38" x14ac:dyDescent="0.25">
      <c r="B262" s="111" t="s">
        <v>100</v>
      </c>
      <c r="C262" s="8" t="str">
        <f>+IFERROR(_xlfn.IFNA(IF(P94="","",AVERAGE(P94:P95)),0),0)</f>
        <v/>
      </c>
      <c r="D262" s="104" t="str">
        <f t="shared" si="81"/>
        <v/>
      </c>
      <c r="P262" s="112"/>
      <c r="U262" s="119">
        <v>0.02</v>
      </c>
      <c r="Y262" s="106"/>
      <c r="Z262" s="106"/>
      <c r="AA262" s="79">
        <v>1</v>
      </c>
      <c r="AB262" s="79">
        <f t="shared" si="78"/>
        <v>0</v>
      </c>
      <c r="AC262" s="79">
        <f t="shared" si="79"/>
        <v>0</v>
      </c>
      <c r="AD262" s="79">
        <f t="shared" si="80"/>
        <v>1</v>
      </c>
      <c r="AE262" s="79"/>
      <c r="AF262" s="79"/>
      <c r="AG262" s="79"/>
      <c r="AH262" s="79"/>
      <c r="AI262" s="79"/>
      <c r="AJ262" s="79"/>
      <c r="AK262" s="79"/>
      <c r="AL262" s="106"/>
    </row>
    <row r="263" spans="2:38" x14ac:dyDescent="0.25">
      <c r="B263" s="111" t="s">
        <v>101</v>
      </c>
      <c r="C263" s="8" t="str">
        <f>+IFERROR(_xlfn.IFNA(IF(P98="","",AVERAGE(P98:P99)),0),0)</f>
        <v/>
      </c>
      <c r="D263" s="104" t="str">
        <f t="shared" si="81"/>
        <v/>
      </c>
      <c r="P263" s="112"/>
      <c r="U263" s="119">
        <v>0.02</v>
      </c>
      <c r="Y263" s="106"/>
      <c r="Z263" s="106"/>
      <c r="AA263" s="79">
        <v>1</v>
      </c>
      <c r="AB263" s="79">
        <f t="shared" si="78"/>
        <v>0</v>
      </c>
      <c r="AC263" s="79">
        <f t="shared" si="79"/>
        <v>0</v>
      </c>
      <c r="AD263" s="79">
        <f t="shared" si="80"/>
        <v>1</v>
      </c>
      <c r="AE263" s="79"/>
      <c r="AF263" s="79"/>
      <c r="AG263" s="79"/>
      <c r="AH263" s="79"/>
      <c r="AI263" s="79"/>
      <c r="AJ263" s="79"/>
      <c r="AK263" s="79"/>
      <c r="AL263" s="106"/>
    </row>
    <row r="264" spans="2:38" x14ac:dyDescent="0.25">
      <c r="B264" s="111" t="s">
        <v>102</v>
      </c>
      <c r="C264" s="8" t="str">
        <f>+IFERROR(_xlfn.IFNA(IF(P102="","",AVERAGE(P102:P103)),0),0)</f>
        <v/>
      </c>
      <c r="D264" s="104" t="str">
        <f t="shared" si="81"/>
        <v/>
      </c>
      <c r="P264" s="112"/>
      <c r="U264" s="119">
        <v>1.4999999999999999E-2</v>
      </c>
      <c r="Y264" s="106"/>
      <c r="Z264" s="106"/>
      <c r="AA264" s="79">
        <v>1</v>
      </c>
      <c r="AB264" s="79">
        <f t="shared" si="78"/>
        <v>0</v>
      </c>
      <c r="AC264" s="79">
        <f t="shared" si="79"/>
        <v>0</v>
      </c>
      <c r="AD264" s="79">
        <f t="shared" si="80"/>
        <v>1</v>
      </c>
      <c r="AE264" s="79"/>
      <c r="AF264" s="79"/>
      <c r="AG264" s="79"/>
      <c r="AH264" s="79"/>
      <c r="AI264" s="79"/>
      <c r="AJ264" s="79"/>
      <c r="AK264" s="79"/>
      <c r="AL264" s="106"/>
    </row>
    <row r="265" spans="2:38" x14ac:dyDescent="0.25">
      <c r="B265" s="111" t="s">
        <v>289</v>
      </c>
      <c r="C265" s="8" t="str">
        <f>+IFERROR(_xlfn.IFNA(IF(P107="","",AVERAGE(P107:P108)),0),0)</f>
        <v/>
      </c>
      <c r="D265" s="104" t="str">
        <f t="shared" si="81"/>
        <v/>
      </c>
      <c r="P265" s="112"/>
      <c r="U265" s="119">
        <v>5.0000000000000001E-3</v>
      </c>
      <c r="Y265" s="106"/>
      <c r="Z265" s="106"/>
      <c r="AA265" s="79">
        <v>1</v>
      </c>
      <c r="AB265" s="79">
        <f t="shared" si="78"/>
        <v>0</v>
      </c>
      <c r="AC265" s="79">
        <f t="shared" si="79"/>
        <v>0</v>
      </c>
      <c r="AD265" s="79">
        <f t="shared" si="80"/>
        <v>1</v>
      </c>
      <c r="AE265" s="79"/>
      <c r="AF265" s="79"/>
      <c r="AG265" s="79"/>
      <c r="AH265" s="79"/>
      <c r="AI265" s="79"/>
      <c r="AJ265" s="79"/>
      <c r="AK265" s="79"/>
      <c r="AL265" s="106"/>
    </row>
    <row r="266" spans="2:38" x14ac:dyDescent="0.25">
      <c r="B266" s="92"/>
      <c r="C266" s="7"/>
      <c r="D266" s="104"/>
      <c r="N266" s="59"/>
      <c r="O266" s="59"/>
      <c r="P266" s="110"/>
      <c r="U266" s="119"/>
      <c r="Y266" s="106"/>
      <c r="Z266" s="106"/>
      <c r="AA266" s="79">
        <v>1</v>
      </c>
      <c r="AB266" s="79">
        <f t="shared" si="78"/>
        <v>0</v>
      </c>
      <c r="AC266" s="79">
        <f t="shared" si="79"/>
        <v>0</v>
      </c>
      <c r="AD266" s="79">
        <f t="shared" si="80"/>
        <v>1</v>
      </c>
      <c r="AE266" s="79"/>
      <c r="AF266" s="79"/>
      <c r="AG266" s="79"/>
      <c r="AH266" s="79"/>
      <c r="AI266" s="79"/>
      <c r="AJ266" s="79"/>
      <c r="AK266" s="79"/>
      <c r="AL266" s="106"/>
    </row>
    <row r="267" spans="2:38" ht="15.75" x14ac:dyDescent="0.25">
      <c r="B267" s="108" t="s">
        <v>48</v>
      </c>
      <c r="C267" s="109"/>
      <c r="D267" s="103" t="s">
        <v>321</v>
      </c>
      <c r="E267" s="59"/>
      <c r="P267" s="112"/>
      <c r="U267" s="119" t="s">
        <v>321</v>
      </c>
      <c r="Y267" s="106"/>
      <c r="Z267" s="106"/>
      <c r="AA267" s="79">
        <v>1</v>
      </c>
      <c r="AB267" s="79">
        <f t="shared" si="78"/>
        <v>0</v>
      </c>
      <c r="AC267" s="79">
        <f t="shared" si="79"/>
        <v>0</v>
      </c>
      <c r="AD267" s="79">
        <f t="shared" si="80"/>
        <v>1</v>
      </c>
      <c r="AE267" s="79"/>
      <c r="AF267" s="79"/>
      <c r="AG267" s="79"/>
      <c r="AH267" s="79"/>
      <c r="AI267" s="79"/>
      <c r="AJ267" s="79"/>
      <c r="AK267" s="79"/>
      <c r="AL267" s="106"/>
    </row>
    <row r="268" spans="2:38" x14ac:dyDescent="0.25">
      <c r="B268" s="111" t="s">
        <v>105</v>
      </c>
      <c r="C268" s="8" t="str">
        <f>+IFERROR(_xlfn.IFNA(IF(P113="","",AVERAGE(P113:P114)),0),0)</f>
        <v/>
      </c>
      <c r="D268" s="104" t="str">
        <f t="shared" ref="D268:D271" si="82">+IF(C268="","",U268)</f>
        <v/>
      </c>
      <c r="P268" s="112"/>
      <c r="U268" s="119">
        <v>0.04</v>
      </c>
      <c r="Y268" s="106"/>
      <c r="Z268" s="106"/>
      <c r="AA268" s="79">
        <v>1</v>
      </c>
      <c r="AB268" s="79">
        <f t="shared" si="78"/>
        <v>0</v>
      </c>
      <c r="AC268" s="79">
        <f t="shared" si="79"/>
        <v>0</v>
      </c>
      <c r="AD268" s="79">
        <f t="shared" si="80"/>
        <v>1</v>
      </c>
      <c r="AE268" s="79"/>
      <c r="AF268" s="79"/>
      <c r="AG268" s="79"/>
      <c r="AH268" s="79"/>
      <c r="AI268" s="79"/>
      <c r="AJ268" s="79"/>
      <c r="AK268" s="79"/>
      <c r="AL268" s="106"/>
    </row>
    <row r="269" spans="2:38" x14ac:dyDescent="0.25">
      <c r="B269" s="111" t="s">
        <v>106</v>
      </c>
      <c r="C269" s="8" t="str">
        <f>+IFERROR(_xlfn.IFNA(IF(P117="","",AVERAGE(P117:P118)),0),0)</f>
        <v/>
      </c>
      <c r="D269" s="104" t="str">
        <f t="shared" si="82"/>
        <v/>
      </c>
      <c r="P269" s="112"/>
      <c r="U269" s="119">
        <v>7.0000000000000007E-2</v>
      </c>
      <c r="Y269" s="106"/>
      <c r="Z269" s="106"/>
      <c r="AA269" s="79">
        <v>1</v>
      </c>
      <c r="AB269" s="79">
        <f t="shared" si="78"/>
        <v>0</v>
      </c>
      <c r="AC269" s="79">
        <f t="shared" si="79"/>
        <v>0</v>
      </c>
      <c r="AD269" s="79">
        <f t="shared" si="80"/>
        <v>1</v>
      </c>
      <c r="AE269" s="79"/>
      <c r="AF269" s="79"/>
      <c r="AG269" s="79"/>
      <c r="AH269" s="79"/>
      <c r="AI269" s="79"/>
      <c r="AJ269" s="79"/>
      <c r="AK269" s="79"/>
      <c r="AL269" s="106"/>
    </row>
    <row r="270" spans="2:38" x14ac:dyDescent="0.25">
      <c r="B270" s="111" t="s">
        <v>107</v>
      </c>
      <c r="C270" s="8" t="str">
        <f>+IFERROR(_xlfn.IFNA(IF(P121="","",AVERAGE(P121:P122)),0),0)</f>
        <v/>
      </c>
      <c r="D270" s="104" t="str">
        <f t="shared" si="82"/>
        <v/>
      </c>
      <c r="P270" s="112"/>
      <c r="U270" s="119">
        <v>7.0000000000000007E-2</v>
      </c>
      <c r="Y270" s="106"/>
      <c r="Z270" s="106"/>
      <c r="AA270" s="79">
        <v>1</v>
      </c>
      <c r="AB270" s="79">
        <f t="shared" si="78"/>
        <v>0</v>
      </c>
      <c r="AC270" s="79">
        <f t="shared" si="79"/>
        <v>0</v>
      </c>
      <c r="AD270" s="79">
        <f t="shared" si="80"/>
        <v>1</v>
      </c>
      <c r="AE270" s="79"/>
      <c r="AF270" s="79"/>
      <c r="AG270" s="79"/>
      <c r="AH270" s="79"/>
      <c r="AI270" s="79"/>
      <c r="AJ270" s="79"/>
      <c r="AK270" s="79"/>
      <c r="AL270" s="106"/>
    </row>
    <row r="271" spans="2:38" x14ac:dyDescent="0.25">
      <c r="B271" s="111" t="s">
        <v>110</v>
      </c>
      <c r="C271" s="8" t="str">
        <f>+IFERROR(_xlfn.IFNA(IF(P126="","",AVERAGE(P126:P127)),0),0)</f>
        <v/>
      </c>
      <c r="D271" s="104" t="str">
        <f t="shared" si="82"/>
        <v/>
      </c>
      <c r="P271" s="112"/>
      <c r="U271" s="119">
        <v>0.02</v>
      </c>
      <c r="Y271" s="106"/>
      <c r="Z271" s="106"/>
      <c r="AA271" s="79">
        <v>1</v>
      </c>
      <c r="AB271" s="79">
        <f t="shared" si="78"/>
        <v>0</v>
      </c>
      <c r="AC271" s="79">
        <f t="shared" si="79"/>
        <v>0</v>
      </c>
      <c r="AD271" s="79">
        <f t="shared" si="80"/>
        <v>1</v>
      </c>
      <c r="AE271" s="79"/>
      <c r="AF271" s="79"/>
      <c r="AG271" s="79"/>
      <c r="AH271" s="79"/>
      <c r="AI271" s="79"/>
      <c r="AJ271" s="79"/>
      <c r="AK271" s="79"/>
      <c r="AL271" s="106"/>
    </row>
    <row r="272" spans="2:38" x14ac:dyDescent="0.25">
      <c r="B272" s="92"/>
      <c r="C272" s="7"/>
      <c r="D272" s="104"/>
      <c r="P272" s="112"/>
      <c r="U272" s="119"/>
      <c r="Y272" s="106"/>
      <c r="Z272" s="106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106"/>
    </row>
    <row r="273" spans="2:38" ht="15.75" x14ac:dyDescent="0.25">
      <c r="B273" s="108" t="s">
        <v>50</v>
      </c>
      <c r="C273" s="109"/>
      <c r="D273" s="103" t="s">
        <v>321</v>
      </c>
      <c r="E273" s="59"/>
      <c r="N273" s="59"/>
      <c r="O273" s="59"/>
      <c r="P273" s="110"/>
      <c r="U273" s="119" t="s">
        <v>321</v>
      </c>
      <c r="Y273" s="106"/>
      <c r="Z273" s="106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106"/>
    </row>
    <row r="274" spans="2:38" x14ac:dyDescent="0.25">
      <c r="B274" s="111" t="s">
        <v>52</v>
      </c>
      <c r="C274" s="8" t="str">
        <f>+IFERROR(_xlfn.IFNA(IF(P133="","",AVERAGE(P133:P134,P136)),0),0)</f>
        <v/>
      </c>
      <c r="D274" s="104" t="str">
        <f t="shared" ref="D274:D286" si="83">+IF(C274="","",U274)</f>
        <v/>
      </c>
      <c r="P274" s="112"/>
      <c r="U274" s="119">
        <v>0.04</v>
      </c>
      <c r="Y274" s="106"/>
      <c r="Z274" s="106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106"/>
    </row>
    <row r="275" spans="2:38" x14ac:dyDescent="0.25">
      <c r="B275" s="111" t="s">
        <v>62</v>
      </c>
      <c r="C275" s="8" t="str">
        <f>+IFERROR(_xlfn.IFNA(IF(P139="","",AVERAGE(P139:P142)),0),0)</f>
        <v/>
      </c>
      <c r="D275" s="104" t="str">
        <f t="shared" si="83"/>
        <v/>
      </c>
      <c r="P275" s="112"/>
      <c r="U275" s="119">
        <v>0.03</v>
      </c>
      <c r="Y275" s="106"/>
      <c r="Z275" s="106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106"/>
    </row>
    <row r="276" spans="2:38" x14ac:dyDescent="0.25">
      <c r="B276" s="111" t="s">
        <v>291</v>
      </c>
      <c r="C276" s="8" t="str">
        <f>+IFERROR(_xlfn.IFNA(IF(P145="","",AVERAGE(P145:P146)),0),0)</f>
        <v/>
      </c>
      <c r="D276" s="104" t="str">
        <f t="shared" si="83"/>
        <v/>
      </c>
      <c r="P276" s="112"/>
      <c r="U276" s="119">
        <v>0.03</v>
      </c>
      <c r="Y276" s="106"/>
      <c r="Z276" s="106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106"/>
    </row>
    <row r="277" spans="2:38" x14ac:dyDescent="0.25">
      <c r="B277" s="111" t="s">
        <v>64</v>
      </c>
      <c r="C277" s="8" t="str">
        <f>+IFERROR(_xlfn.IFNA(IF(P149="","",AVERAGE(P149:P150)),0),0)</f>
        <v/>
      </c>
      <c r="D277" s="104" t="str">
        <f t="shared" si="83"/>
        <v/>
      </c>
      <c r="P277" s="112"/>
      <c r="U277" s="119">
        <v>1.4999999999999999E-2</v>
      </c>
      <c r="Y277" s="106"/>
      <c r="Z277" s="106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106"/>
    </row>
    <row r="278" spans="2:38" x14ac:dyDescent="0.25">
      <c r="B278" s="111" t="s">
        <v>65</v>
      </c>
      <c r="C278" s="8" t="str">
        <f>+IFERROR(_xlfn.IFNA(P154,0),0)</f>
        <v/>
      </c>
      <c r="D278" s="104" t="str">
        <f t="shared" si="83"/>
        <v/>
      </c>
      <c r="P278" s="112"/>
      <c r="U278" s="119">
        <v>1.4999999999999999E-2</v>
      </c>
      <c r="Y278" s="106"/>
      <c r="Z278" s="106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106"/>
    </row>
    <row r="279" spans="2:38" x14ac:dyDescent="0.25">
      <c r="B279" s="111" t="s">
        <v>66</v>
      </c>
      <c r="C279" s="8" t="str">
        <f>+IFERROR(_xlfn.IFNA(IF(P157="","",AVERAGE(P157:P158)),0),0)</f>
        <v/>
      </c>
      <c r="D279" s="104" t="str">
        <f t="shared" si="83"/>
        <v/>
      </c>
      <c r="P279" s="112"/>
      <c r="U279" s="119">
        <v>0.03</v>
      </c>
      <c r="Y279" s="106"/>
      <c r="Z279" s="106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106"/>
    </row>
    <row r="280" spans="2:38" x14ac:dyDescent="0.25">
      <c r="B280" s="111" t="s">
        <v>241</v>
      </c>
      <c r="C280" s="8" t="str">
        <f>+IFERROR(_xlfn.IFNA(IF(P161="","",AVERAGE(P161:P162)),0),0)</f>
        <v/>
      </c>
      <c r="D280" s="104" t="str">
        <f t="shared" si="83"/>
        <v/>
      </c>
      <c r="P280" s="112"/>
      <c r="U280" s="119">
        <v>0.05</v>
      </c>
      <c r="Y280" s="106"/>
      <c r="Z280" s="106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106"/>
    </row>
    <row r="281" spans="2:38" x14ac:dyDescent="0.25">
      <c r="B281" s="111" t="s">
        <v>42</v>
      </c>
      <c r="C281" s="8" t="str">
        <f>+IFERROR(_xlfn.IFNA(IF(P165="","",AVERAGE(P165:P167)),0),0)</f>
        <v/>
      </c>
      <c r="D281" s="104" t="str">
        <f t="shared" si="83"/>
        <v/>
      </c>
      <c r="P281" s="112"/>
      <c r="U281" s="119">
        <v>2.5000000000000001E-2</v>
      </c>
      <c r="Y281" s="106"/>
      <c r="Z281" s="106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106"/>
    </row>
    <row r="282" spans="2:38" x14ac:dyDescent="0.25">
      <c r="B282" s="111" t="s">
        <v>69</v>
      </c>
      <c r="C282" s="8" t="str">
        <f>+IFERROR(_xlfn.IFNA(IF(P170="","",AVERAGE(P170:P172)),0),0)</f>
        <v/>
      </c>
      <c r="D282" s="104" t="str">
        <f t="shared" si="83"/>
        <v/>
      </c>
      <c r="P282" s="112"/>
      <c r="U282" s="119">
        <v>0.04</v>
      </c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</row>
    <row r="283" spans="2:38" x14ac:dyDescent="0.25">
      <c r="B283" s="111" t="s">
        <v>70</v>
      </c>
      <c r="C283" s="8" t="str">
        <f>+IFERROR(_xlfn.IFNA(IF(P175="","",AVERAGE(P175:P177)),0),0)</f>
        <v/>
      </c>
      <c r="D283" s="104" t="str">
        <f t="shared" si="83"/>
        <v/>
      </c>
      <c r="P283" s="112"/>
      <c r="U283" s="119">
        <v>0.04</v>
      </c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</row>
    <row r="284" spans="2:38" x14ac:dyDescent="0.25">
      <c r="B284" s="111" t="s">
        <v>59</v>
      </c>
      <c r="C284" s="8" t="str">
        <f>+IFERROR(_xlfn.IFNA(P180,0),0)</f>
        <v/>
      </c>
      <c r="D284" s="104" t="str">
        <f t="shared" si="83"/>
        <v/>
      </c>
      <c r="P284" s="112"/>
      <c r="U284" s="119">
        <v>1.4999999999999999E-2</v>
      </c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</row>
    <row r="285" spans="2:38" x14ac:dyDescent="0.25">
      <c r="B285" s="111" t="s">
        <v>292</v>
      </c>
      <c r="C285" s="8" t="str">
        <f>+IFERROR(_xlfn.IFNA(P184,0),0)</f>
        <v/>
      </c>
      <c r="D285" s="104" t="str">
        <f t="shared" si="83"/>
        <v/>
      </c>
      <c r="P285" s="112"/>
      <c r="U285" s="119">
        <v>0.01</v>
      </c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</row>
    <row r="286" spans="2:38" x14ac:dyDescent="0.25">
      <c r="B286" s="111" t="s">
        <v>116</v>
      </c>
      <c r="C286" s="8" t="str">
        <f>+IFERROR(_xlfn.IFNA(P188,0),0)</f>
        <v/>
      </c>
      <c r="D286" s="104" t="str">
        <f t="shared" si="83"/>
        <v/>
      </c>
      <c r="P286" s="112"/>
      <c r="U286" s="119">
        <v>0.02</v>
      </c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</row>
    <row r="287" spans="2:38" x14ac:dyDescent="0.25">
      <c r="B287" s="92"/>
      <c r="C287" s="8"/>
      <c r="D287" s="104"/>
      <c r="P287" s="112"/>
      <c r="U287" s="119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</row>
    <row r="288" spans="2:38" ht="15.75" x14ac:dyDescent="0.25">
      <c r="B288" s="108" t="s">
        <v>71</v>
      </c>
      <c r="C288" s="109"/>
      <c r="D288" s="103" t="s">
        <v>321</v>
      </c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110"/>
      <c r="U288" s="119" t="s">
        <v>321</v>
      </c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</row>
    <row r="289" spans="2:38" x14ac:dyDescent="0.25">
      <c r="B289" s="111" t="s">
        <v>117</v>
      </c>
      <c r="C289" s="8" t="str">
        <f>+IFERROR(_xlfn.IFNA(P211,0),0)</f>
        <v/>
      </c>
      <c r="D289" s="104" t="str">
        <f t="shared" ref="D289:D291" si="84">+IF(C289="","",U289)</f>
        <v/>
      </c>
      <c r="P289" s="112"/>
      <c r="U289" s="119">
        <v>5.0000000000000001E-3</v>
      </c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</row>
    <row r="290" spans="2:38" x14ac:dyDescent="0.25">
      <c r="B290" s="111" t="s">
        <v>75</v>
      </c>
      <c r="C290" s="8" t="str">
        <f>+IFERROR(_xlfn.IFNA(P218,0),0)</f>
        <v/>
      </c>
      <c r="D290" s="104" t="str">
        <f t="shared" si="84"/>
        <v/>
      </c>
      <c r="P290" s="112"/>
      <c r="U290" s="119">
        <v>8.0000000000000002E-3</v>
      </c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</row>
    <row r="291" spans="2:38" x14ac:dyDescent="0.25">
      <c r="B291" s="111" t="s">
        <v>121</v>
      </c>
      <c r="C291" s="8" t="str">
        <f>+IFERROR(_xlfn.IFNA(P222,0),0)</f>
        <v/>
      </c>
      <c r="D291" s="104" t="str">
        <f t="shared" si="84"/>
        <v/>
      </c>
      <c r="P291" s="112"/>
      <c r="U291" s="119">
        <v>7.0000000000000001E-3</v>
      </c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</row>
    <row r="292" spans="2:38" x14ac:dyDescent="0.25">
      <c r="B292" s="92"/>
      <c r="C292" s="7"/>
      <c r="D292" s="104"/>
      <c r="P292" s="112"/>
      <c r="U292" s="119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</row>
    <row r="293" spans="2:38" ht="15.75" x14ac:dyDescent="0.25">
      <c r="B293" s="108" t="s">
        <v>79</v>
      </c>
      <c r="C293" s="109"/>
      <c r="D293" s="103" t="s">
        <v>321</v>
      </c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110"/>
      <c r="U293" s="119" t="s">
        <v>321</v>
      </c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</row>
    <row r="294" spans="2:38" x14ac:dyDescent="0.25">
      <c r="B294" s="111" t="s">
        <v>120</v>
      </c>
      <c r="C294" s="8" t="str">
        <f>+IFERROR(_xlfn.IFNA(P228,0),0)</f>
        <v/>
      </c>
      <c r="D294" s="104" t="str">
        <f t="shared" ref="D294:D295" si="85">+IF(C294="","",U294)</f>
        <v/>
      </c>
      <c r="P294" s="112"/>
      <c r="U294" s="119">
        <v>0.04</v>
      </c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</row>
    <row r="295" spans="2:38" ht="15.75" thickBot="1" x14ac:dyDescent="0.3">
      <c r="B295" s="114" t="s">
        <v>77</v>
      </c>
      <c r="C295" s="115" t="str">
        <f>+IFERROR(_xlfn.IFNA(P233,0),0)</f>
        <v/>
      </c>
      <c r="D295" s="116" t="str">
        <f t="shared" si="85"/>
        <v/>
      </c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8"/>
      <c r="U295" s="119">
        <v>0.05</v>
      </c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</row>
  </sheetData>
  <mergeCells count="142">
    <mergeCell ref="E254:G259"/>
    <mergeCell ref="J256:K257"/>
    <mergeCell ref="B205:P205"/>
    <mergeCell ref="B224:P224"/>
    <mergeCell ref="B246:P246"/>
    <mergeCell ref="J2:P3"/>
    <mergeCell ref="B1:N1"/>
    <mergeCell ref="B2:H3"/>
    <mergeCell ref="B36:P37"/>
    <mergeCell ref="K133:O133"/>
    <mergeCell ref="K134:O134"/>
    <mergeCell ref="K136:O136"/>
    <mergeCell ref="K139:O139"/>
    <mergeCell ref="K140:O140"/>
    <mergeCell ref="K141:O141"/>
    <mergeCell ref="K142:O142"/>
    <mergeCell ref="K187:O187"/>
    <mergeCell ref="K138:O138"/>
    <mergeCell ref="K144:O144"/>
    <mergeCell ref="K148:O148"/>
    <mergeCell ref="K152:O152"/>
    <mergeCell ref="K156:O156"/>
    <mergeCell ref="K160:O160"/>
    <mergeCell ref="K60:O60"/>
    <mergeCell ref="K64:O64"/>
    <mergeCell ref="K65:O65"/>
    <mergeCell ref="K68:O68"/>
    <mergeCell ref="K69:O69"/>
    <mergeCell ref="K80:O80"/>
    <mergeCell ref="K81:O81"/>
    <mergeCell ref="K108:O108"/>
    <mergeCell ref="K113:O113"/>
    <mergeCell ref="K91:O91"/>
    <mergeCell ref="K94:O94"/>
    <mergeCell ref="K95:O95"/>
    <mergeCell ref="K98:O98"/>
    <mergeCell ref="K88:O88"/>
    <mergeCell ref="K93:O93"/>
    <mergeCell ref="K97:O97"/>
    <mergeCell ref="K99:O99"/>
    <mergeCell ref="K112:O112"/>
    <mergeCell ref="K105:O105"/>
    <mergeCell ref="K40:O40"/>
    <mergeCell ref="K39:O39"/>
    <mergeCell ref="K43:O43"/>
    <mergeCell ref="K47:O47"/>
    <mergeCell ref="K51:O51"/>
    <mergeCell ref="K55:O55"/>
    <mergeCell ref="K101:O101"/>
    <mergeCell ref="K41:O41"/>
    <mergeCell ref="K42:O42"/>
    <mergeCell ref="K45:O45"/>
    <mergeCell ref="K44:O44"/>
    <mergeCell ref="K48:O48"/>
    <mergeCell ref="K49:O49"/>
    <mergeCell ref="K85:O85"/>
    <mergeCell ref="K84:O84"/>
    <mergeCell ref="K90:O90"/>
    <mergeCell ref="K59:O59"/>
    <mergeCell ref="K63:O63"/>
    <mergeCell ref="K67:O67"/>
    <mergeCell ref="K71:O71"/>
    <mergeCell ref="K75:O75"/>
    <mergeCell ref="K79:O79"/>
    <mergeCell ref="K83:O83"/>
    <mergeCell ref="K61:O61"/>
    <mergeCell ref="L23:O23"/>
    <mergeCell ref="B4:C13"/>
    <mergeCell ref="E4:H4"/>
    <mergeCell ref="K5:N5"/>
    <mergeCell ref="M15:O15"/>
    <mergeCell ref="L22:O22"/>
    <mergeCell ref="E5:H5"/>
    <mergeCell ref="G22:H22"/>
    <mergeCell ref="B16:H20"/>
    <mergeCell ref="E6:H6"/>
    <mergeCell ref="E7:H7"/>
    <mergeCell ref="E9:F9"/>
    <mergeCell ref="E10:F10"/>
    <mergeCell ref="L13:O13"/>
    <mergeCell ref="J30:K30"/>
    <mergeCell ref="J31:K31"/>
    <mergeCell ref="J13:K13"/>
    <mergeCell ref="J16:P16"/>
    <mergeCell ref="K239:O239"/>
    <mergeCell ref="K241:O241"/>
    <mergeCell ref="K226:O226"/>
    <mergeCell ref="K230:O230"/>
    <mergeCell ref="K235:O235"/>
    <mergeCell ref="K237:O237"/>
    <mergeCell ref="K208:O208"/>
    <mergeCell ref="K213:O213"/>
    <mergeCell ref="K217:O217"/>
    <mergeCell ref="K221:O221"/>
    <mergeCell ref="K211:O211"/>
    <mergeCell ref="K218:O218"/>
    <mergeCell ref="K222:O222"/>
    <mergeCell ref="K228:O228"/>
    <mergeCell ref="K233:O233"/>
    <mergeCell ref="K184:O184"/>
    <mergeCell ref="K188:O188"/>
    <mergeCell ref="K120:O120"/>
    <mergeCell ref="K124:O124"/>
    <mergeCell ref="B110:P111"/>
    <mergeCell ref="K179:O179"/>
    <mergeCell ref="K183:O183"/>
    <mergeCell ref="B130:P131"/>
    <mergeCell ref="K166:O166"/>
    <mergeCell ref="K167:O167"/>
    <mergeCell ref="K170:O170"/>
    <mergeCell ref="K171:O171"/>
    <mergeCell ref="K172:O172"/>
    <mergeCell ref="K177:O177"/>
    <mergeCell ref="K180:O180"/>
    <mergeCell ref="K145:O145"/>
    <mergeCell ref="K146:O146"/>
    <mergeCell ref="K149:O149"/>
    <mergeCell ref="K150:O150"/>
    <mergeCell ref="K153:O153"/>
    <mergeCell ref="K132:O132"/>
    <mergeCell ref="K154:O154"/>
    <mergeCell ref="K157:O157"/>
    <mergeCell ref="K158:O158"/>
    <mergeCell ref="K161:O161"/>
    <mergeCell ref="K162:O162"/>
    <mergeCell ref="K165:O165"/>
    <mergeCell ref="K116:O116"/>
    <mergeCell ref="K114:O114"/>
    <mergeCell ref="K126:O126"/>
    <mergeCell ref="K127:O127"/>
    <mergeCell ref="K102:O102"/>
    <mergeCell ref="K103:O103"/>
    <mergeCell ref="K107:O107"/>
    <mergeCell ref="K175:O175"/>
    <mergeCell ref="K176:O176"/>
    <mergeCell ref="K164:O164"/>
    <mergeCell ref="K169:O169"/>
    <mergeCell ref="K174:O174"/>
    <mergeCell ref="K117:O117"/>
    <mergeCell ref="K118:O118"/>
    <mergeCell ref="K121:O121"/>
    <mergeCell ref="K122:O122"/>
  </mergeCells>
  <phoneticPr fontId="2" type="noConversion"/>
  <conditionalFormatting sqref="M15:O15">
    <cfRule type="cellIs" dxfId="2" priority="2" operator="equal">
      <formula>"High volatility"</formula>
    </cfRule>
    <cfRule type="cellIs" dxfId="1" priority="3" operator="equal">
      <formula>"Normal volatility"</formula>
    </cfRule>
    <cfRule type="cellIs" dxfId="0" priority="4" operator="equal">
      <formula>"Low volatility"</formula>
    </cfRule>
  </conditionalFormatting>
  <conditionalFormatting sqref="P35:P204 P4:P15 P38:P109 P112:P129 P132:P146 P206:P223 P225:P245 P248:P252 P17:P33 P254:P265 P289:P292 P267:P272 P274:P287 P294:P1048576">
    <cfRule type="colorScale" priority="1">
      <colorScale>
        <cfvo type="num" val="1"/>
        <cfvo type="num" val="3"/>
        <cfvo type="num" val="5"/>
        <color rgb="FFC00000"/>
        <color theme="7"/>
        <color theme="9"/>
      </colorScale>
    </cfRule>
  </conditionalFormatting>
  <pageMargins left="0.70866141732283472" right="0.70866141732283472" top="0.74803149606299213" bottom="0.74803149606299213" header="0.31496062992125984" footer="0.31496062992125984"/>
  <pageSetup scale="45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85A9-E319-46F1-8C87-A91E7A67B1F7}">
  <sheetPr codeName="Sheet2"/>
  <dimension ref="A1:G274"/>
  <sheetViews>
    <sheetView topLeftCell="A240" workbookViewId="0">
      <selection activeCell="A157" sqref="A157"/>
    </sheetView>
  </sheetViews>
  <sheetFormatPr defaultRowHeight="15" x14ac:dyDescent="0.25"/>
  <cols>
    <col min="1" max="1" width="45.140625" bestFit="1" customWidth="1"/>
    <col min="2" max="2" width="6.5703125" bestFit="1" customWidth="1"/>
    <col min="3" max="3" width="57.7109375" customWidth="1"/>
    <col min="5" max="5" width="14.42578125" bestFit="1" customWidth="1"/>
  </cols>
  <sheetData>
    <row r="1" spans="1:7" x14ac:dyDescent="0.25">
      <c r="A1" s="1" t="s">
        <v>125</v>
      </c>
      <c r="B1" s="1" t="s">
        <v>124</v>
      </c>
      <c r="E1" s="11" t="s">
        <v>124</v>
      </c>
      <c r="F1" s="12">
        <v>1</v>
      </c>
      <c r="G1" s="13">
        <v>5</v>
      </c>
    </row>
    <row r="2" spans="1:7" ht="15.75" thickBot="1" x14ac:dyDescent="0.3">
      <c r="A2" t="s">
        <v>126</v>
      </c>
      <c r="B2">
        <v>5</v>
      </c>
      <c r="E2" s="14"/>
      <c r="F2" s="15" t="s">
        <v>131</v>
      </c>
      <c r="G2" s="16" t="s">
        <v>132</v>
      </c>
    </row>
    <row r="3" spans="1:7" x14ac:dyDescent="0.25">
      <c r="A3" t="s">
        <v>127</v>
      </c>
      <c r="B3">
        <v>4</v>
      </c>
    </row>
    <row r="4" spans="1:7" x14ac:dyDescent="0.25">
      <c r="A4" t="s">
        <v>128</v>
      </c>
      <c r="B4">
        <v>3</v>
      </c>
    </row>
    <row r="5" spans="1:7" x14ac:dyDescent="0.25">
      <c r="A5" t="s">
        <v>129</v>
      </c>
      <c r="B5">
        <v>1</v>
      </c>
    </row>
    <row r="6" spans="1:7" x14ac:dyDescent="0.25">
      <c r="A6" t="s">
        <v>130</v>
      </c>
      <c r="B6">
        <v>0</v>
      </c>
    </row>
    <row r="7" spans="1:7" x14ac:dyDescent="0.25">
      <c r="A7" t="s">
        <v>293</v>
      </c>
      <c r="B7">
        <v>0</v>
      </c>
    </row>
    <row r="8" spans="1:7" x14ac:dyDescent="0.25">
      <c r="A8" s="1" t="s">
        <v>133</v>
      </c>
      <c r="B8" s="1" t="s">
        <v>124</v>
      </c>
      <c r="F8" s="1" t="s">
        <v>310</v>
      </c>
    </row>
    <row r="9" spans="1:7" x14ac:dyDescent="0.25">
      <c r="A9" t="s">
        <v>134</v>
      </c>
      <c r="B9">
        <v>5</v>
      </c>
      <c r="F9" t="s">
        <v>311</v>
      </c>
    </row>
    <row r="10" spans="1:7" x14ac:dyDescent="0.25">
      <c r="A10" t="s">
        <v>135</v>
      </c>
      <c r="B10">
        <v>3</v>
      </c>
      <c r="F10" s="17">
        <v>-1</v>
      </c>
      <c r="G10">
        <v>0</v>
      </c>
    </row>
    <row r="11" spans="1:7" x14ac:dyDescent="0.25">
      <c r="A11" t="s">
        <v>136</v>
      </c>
      <c r="B11">
        <v>0</v>
      </c>
      <c r="F11" s="17">
        <v>-0.03</v>
      </c>
      <c r="G11">
        <v>1</v>
      </c>
    </row>
    <row r="12" spans="1:7" x14ac:dyDescent="0.25">
      <c r="F12" s="17">
        <v>-0.01</v>
      </c>
      <c r="G12">
        <v>2</v>
      </c>
    </row>
    <row r="13" spans="1:7" x14ac:dyDescent="0.25">
      <c r="A13" s="1" t="s">
        <v>137</v>
      </c>
      <c r="B13" s="1" t="s">
        <v>124</v>
      </c>
      <c r="F13" s="17">
        <v>0.01</v>
      </c>
      <c r="G13">
        <v>3</v>
      </c>
    </row>
    <row r="14" spans="1:7" x14ac:dyDescent="0.25">
      <c r="A14">
        <v>1</v>
      </c>
      <c r="B14">
        <v>5</v>
      </c>
      <c r="F14" s="17">
        <v>0.03</v>
      </c>
      <c r="G14">
        <v>4</v>
      </c>
    </row>
    <row r="15" spans="1:7" x14ac:dyDescent="0.25">
      <c r="A15">
        <v>2</v>
      </c>
      <c r="B15">
        <v>5</v>
      </c>
      <c r="F15" s="17">
        <v>0.05</v>
      </c>
      <c r="G15">
        <v>5</v>
      </c>
    </row>
    <row r="16" spans="1:7" x14ac:dyDescent="0.25">
      <c r="A16">
        <v>3</v>
      </c>
      <c r="B16">
        <v>4</v>
      </c>
    </row>
    <row r="17" spans="1:7" x14ac:dyDescent="0.25">
      <c r="A17">
        <v>4</v>
      </c>
      <c r="B17">
        <v>4</v>
      </c>
      <c r="F17" t="s">
        <v>312</v>
      </c>
    </row>
    <row r="18" spans="1:7" x14ac:dyDescent="0.25">
      <c r="A18">
        <v>5</v>
      </c>
      <c r="B18">
        <v>3</v>
      </c>
      <c r="F18" s="17">
        <v>-1</v>
      </c>
      <c r="G18">
        <v>0</v>
      </c>
    </row>
    <row r="19" spans="1:7" x14ac:dyDescent="0.25">
      <c r="A19">
        <v>6</v>
      </c>
      <c r="B19">
        <v>3</v>
      </c>
      <c r="F19" s="17">
        <v>0</v>
      </c>
      <c r="G19">
        <v>1</v>
      </c>
    </row>
    <row r="20" spans="1:7" x14ac:dyDescent="0.25">
      <c r="A20">
        <v>7</v>
      </c>
      <c r="B20">
        <v>2</v>
      </c>
      <c r="F20" s="17">
        <v>0.02</v>
      </c>
      <c r="G20">
        <v>2</v>
      </c>
    </row>
    <row r="21" spans="1:7" x14ac:dyDescent="0.25">
      <c r="A21">
        <v>8</v>
      </c>
      <c r="B21">
        <v>2</v>
      </c>
      <c r="F21" s="17">
        <v>0.06</v>
      </c>
      <c r="G21">
        <v>3</v>
      </c>
    </row>
    <row r="22" spans="1:7" x14ac:dyDescent="0.25">
      <c r="A22">
        <v>9</v>
      </c>
      <c r="B22">
        <v>1</v>
      </c>
      <c r="F22" s="17">
        <v>0.1</v>
      </c>
      <c r="G22">
        <v>4</v>
      </c>
    </row>
    <row r="23" spans="1:7" x14ac:dyDescent="0.25">
      <c r="A23">
        <v>10</v>
      </c>
      <c r="B23">
        <v>0</v>
      </c>
      <c r="F23" s="17">
        <v>0.15</v>
      </c>
      <c r="G23">
        <v>5</v>
      </c>
    </row>
    <row r="25" spans="1:7" x14ac:dyDescent="0.25">
      <c r="F25" t="s">
        <v>313</v>
      </c>
    </row>
    <row r="26" spans="1:7" x14ac:dyDescent="0.25">
      <c r="A26" s="1" t="s">
        <v>138</v>
      </c>
      <c r="F26" s="17">
        <v>-1</v>
      </c>
      <c r="G26">
        <v>0</v>
      </c>
    </row>
    <row r="27" spans="1:7" x14ac:dyDescent="0.25">
      <c r="A27" s="17">
        <v>-100000000000</v>
      </c>
      <c r="B27">
        <v>1</v>
      </c>
      <c r="C27" t="s">
        <v>144</v>
      </c>
      <c r="D27">
        <v>0</v>
      </c>
      <c r="F27" s="17">
        <v>0.05</v>
      </c>
      <c r="G27">
        <v>1</v>
      </c>
    </row>
    <row r="28" spans="1:7" x14ac:dyDescent="0.25">
      <c r="A28" s="18">
        <v>2.5000000000000001E-2</v>
      </c>
      <c r="B28">
        <v>2</v>
      </c>
      <c r="C28" t="s">
        <v>143</v>
      </c>
      <c r="D28">
        <f t="shared" ref="D28:D31" si="0">+B28</f>
        <v>2</v>
      </c>
      <c r="F28" s="17">
        <v>0.1</v>
      </c>
      <c r="G28">
        <v>2</v>
      </c>
    </row>
    <row r="29" spans="1:7" x14ac:dyDescent="0.25">
      <c r="A29" s="17">
        <v>0.05</v>
      </c>
      <c r="B29">
        <v>3</v>
      </c>
      <c r="C29" t="s">
        <v>140</v>
      </c>
      <c r="D29">
        <f t="shared" si="0"/>
        <v>3</v>
      </c>
      <c r="F29" s="17">
        <v>0.15</v>
      </c>
      <c r="G29">
        <v>3</v>
      </c>
    </row>
    <row r="30" spans="1:7" x14ac:dyDescent="0.25">
      <c r="A30" s="17">
        <v>0.1</v>
      </c>
      <c r="B30">
        <v>4</v>
      </c>
      <c r="C30" t="s">
        <v>139</v>
      </c>
      <c r="D30">
        <f t="shared" si="0"/>
        <v>4</v>
      </c>
      <c r="F30" s="17">
        <v>0.25</v>
      </c>
      <c r="G30">
        <v>4</v>
      </c>
    </row>
    <row r="31" spans="1:7" x14ac:dyDescent="0.25">
      <c r="A31" s="17">
        <v>0.15</v>
      </c>
      <c r="B31">
        <v>5</v>
      </c>
      <c r="C31" t="s">
        <v>142</v>
      </c>
      <c r="D31">
        <f t="shared" si="0"/>
        <v>5</v>
      </c>
      <c r="F31" s="17">
        <v>0.3</v>
      </c>
      <c r="G31">
        <v>5</v>
      </c>
    </row>
    <row r="33" spans="1:4" x14ac:dyDescent="0.25">
      <c r="A33" s="1" t="s">
        <v>141</v>
      </c>
    </row>
    <row r="35" spans="1:4" x14ac:dyDescent="0.25">
      <c r="A35" s="17">
        <v>-100000000000</v>
      </c>
      <c r="B35">
        <v>1</v>
      </c>
      <c r="C35" t="s">
        <v>149</v>
      </c>
      <c r="D35">
        <v>0</v>
      </c>
    </row>
    <row r="36" spans="1:4" x14ac:dyDescent="0.25">
      <c r="A36" s="18">
        <v>2.5000000000000001E-2</v>
      </c>
      <c r="B36">
        <v>2</v>
      </c>
      <c r="C36" t="s">
        <v>148</v>
      </c>
      <c r="D36">
        <f t="shared" ref="D36:D39" si="1">+B36</f>
        <v>2</v>
      </c>
    </row>
    <row r="37" spans="1:4" x14ac:dyDescent="0.25">
      <c r="A37" s="17">
        <v>0.05</v>
      </c>
      <c r="B37">
        <v>3</v>
      </c>
      <c r="C37" t="s">
        <v>147</v>
      </c>
      <c r="D37">
        <f t="shared" si="1"/>
        <v>3</v>
      </c>
    </row>
    <row r="38" spans="1:4" x14ac:dyDescent="0.25">
      <c r="A38" s="17">
        <v>0.1</v>
      </c>
      <c r="B38">
        <v>4</v>
      </c>
      <c r="C38" t="s">
        <v>145</v>
      </c>
      <c r="D38">
        <f t="shared" si="1"/>
        <v>4</v>
      </c>
    </row>
    <row r="39" spans="1:4" x14ac:dyDescent="0.25">
      <c r="A39" s="17">
        <v>0.15</v>
      </c>
      <c r="B39">
        <v>5</v>
      </c>
      <c r="C39" t="s">
        <v>146</v>
      </c>
      <c r="D39">
        <f t="shared" si="1"/>
        <v>5</v>
      </c>
    </row>
    <row r="41" spans="1:4" x14ac:dyDescent="0.25">
      <c r="A41" s="4" t="s">
        <v>43</v>
      </c>
    </row>
    <row r="42" spans="1:4" x14ac:dyDescent="0.25">
      <c r="A42" s="19">
        <v>0</v>
      </c>
      <c r="B42">
        <v>5</v>
      </c>
      <c r="C42" t="s">
        <v>150</v>
      </c>
      <c r="D42">
        <f t="shared" ref="D42" si="2">+B42</f>
        <v>5</v>
      </c>
    </row>
    <row r="43" spans="1:4" x14ac:dyDescent="0.25">
      <c r="A43" s="19">
        <v>0.8</v>
      </c>
      <c r="B43">
        <v>1</v>
      </c>
      <c r="C43" t="s">
        <v>151</v>
      </c>
      <c r="D43">
        <v>0</v>
      </c>
    </row>
    <row r="45" spans="1:4" x14ac:dyDescent="0.25">
      <c r="A45" s="19">
        <v>0</v>
      </c>
      <c r="B45">
        <v>5</v>
      </c>
      <c r="C45" t="s">
        <v>152</v>
      </c>
      <c r="D45">
        <f t="shared" ref="D45" si="3">+B45</f>
        <v>5</v>
      </c>
    </row>
    <row r="46" spans="1:4" x14ac:dyDescent="0.25">
      <c r="A46" s="19">
        <v>0.8</v>
      </c>
      <c r="B46">
        <v>1</v>
      </c>
      <c r="C46" t="s">
        <v>153</v>
      </c>
      <c r="D46">
        <v>0</v>
      </c>
    </row>
    <row r="49" spans="1:4" x14ac:dyDescent="0.25">
      <c r="A49" s="1" t="s">
        <v>99</v>
      </c>
    </row>
    <row r="50" spans="1:4" x14ac:dyDescent="0.25">
      <c r="A50" s="17">
        <v>-100000000000</v>
      </c>
      <c r="B50">
        <v>1</v>
      </c>
      <c r="C50" t="s">
        <v>154</v>
      </c>
      <c r="D50">
        <v>0</v>
      </c>
    </row>
    <row r="51" spans="1:4" x14ac:dyDescent="0.25">
      <c r="A51" s="17">
        <v>0.03</v>
      </c>
      <c r="B51">
        <v>2</v>
      </c>
      <c r="C51" t="s">
        <v>155</v>
      </c>
      <c r="D51">
        <f t="shared" ref="D51:D54" si="4">+B51</f>
        <v>2</v>
      </c>
    </row>
    <row r="52" spans="1:4" x14ac:dyDescent="0.25">
      <c r="A52" s="17">
        <v>0.05</v>
      </c>
      <c r="B52">
        <v>3</v>
      </c>
      <c r="C52" t="s">
        <v>156</v>
      </c>
      <c r="D52">
        <f t="shared" si="4"/>
        <v>3</v>
      </c>
    </row>
    <row r="53" spans="1:4" x14ac:dyDescent="0.25">
      <c r="A53" s="17">
        <v>7.0000000000000007E-2</v>
      </c>
      <c r="B53">
        <v>4</v>
      </c>
      <c r="C53" t="s">
        <v>157</v>
      </c>
      <c r="D53">
        <f t="shared" si="4"/>
        <v>4</v>
      </c>
    </row>
    <row r="54" spans="1:4" x14ac:dyDescent="0.25">
      <c r="A54" s="17">
        <v>0.08</v>
      </c>
      <c r="B54">
        <v>5</v>
      </c>
      <c r="C54" t="s">
        <v>158</v>
      </c>
      <c r="D54">
        <f t="shared" si="4"/>
        <v>5</v>
      </c>
    </row>
    <row r="56" spans="1:4" x14ac:dyDescent="0.25">
      <c r="A56" s="17">
        <v>-100000000000</v>
      </c>
      <c r="B56">
        <v>1</v>
      </c>
      <c r="C56" t="s">
        <v>159</v>
      </c>
      <c r="D56">
        <v>0</v>
      </c>
    </row>
    <row r="57" spans="1:4" x14ac:dyDescent="0.25">
      <c r="A57" s="17">
        <v>0.03</v>
      </c>
      <c r="B57">
        <v>2</v>
      </c>
      <c r="C57" t="s">
        <v>160</v>
      </c>
      <c r="D57">
        <f t="shared" ref="D57:D60" si="5">+B57</f>
        <v>2</v>
      </c>
    </row>
    <row r="58" spans="1:4" x14ac:dyDescent="0.25">
      <c r="A58" s="17">
        <v>0.05</v>
      </c>
      <c r="B58">
        <v>3</v>
      </c>
      <c r="C58" t="s">
        <v>161</v>
      </c>
      <c r="D58">
        <f t="shared" si="5"/>
        <v>3</v>
      </c>
    </row>
    <row r="59" spans="1:4" x14ac:dyDescent="0.25">
      <c r="A59" s="17">
        <v>7.0000000000000007E-2</v>
      </c>
      <c r="B59">
        <v>4</v>
      </c>
      <c r="C59" t="s">
        <v>162</v>
      </c>
      <c r="D59">
        <f t="shared" si="5"/>
        <v>4</v>
      </c>
    </row>
    <row r="60" spans="1:4" x14ac:dyDescent="0.25">
      <c r="A60" s="17">
        <v>0.08</v>
      </c>
      <c r="B60">
        <v>5</v>
      </c>
      <c r="C60" t="s">
        <v>163</v>
      </c>
      <c r="D60">
        <f t="shared" si="5"/>
        <v>5</v>
      </c>
    </row>
    <row r="63" spans="1:4" x14ac:dyDescent="0.25">
      <c r="A63" s="1" t="s">
        <v>100</v>
      </c>
    </row>
    <row r="64" spans="1:4" x14ac:dyDescent="0.25">
      <c r="A64" s="17">
        <v>-100000000000</v>
      </c>
      <c r="B64">
        <v>1</v>
      </c>
      <c r="C64" t="s">
        <v>164</v>
      </c>
      <c r="D64">
        <v>0</v>
      </c>
    </row>
    <row r="65" spans="1:4" x14ac:dyDescent="0.25">
      <c r="A65" s="17">
        <v>0.1</v>
      </c>
      <c r="B65">
        <v>2</v>
      </c>
      <c r="C65" t="s">
        <v>165</v>
      </c>
      <c r="D65">
        <f t="shared" ref="D65:D68" si="6">+B65</f>
        <v>2</v>
      </c>
    </row>
    <row r="66" spans="1:4" x14ac:dyDescent="0.25">
      <c r="A66" s="17">
        <v>0.2</v>
      </c>
      <c r="B66">
        <v>3</v>
      </c>
      <c r="C66" t="s">
        <v>166</v>
      </c>
      <c r="D66">
        <f t="shared" si="6"/>
        <v>3</v>
      </c>
    </row>
    <row r="67" spans="1:4" x14ac:dyDescent="0.25">
      <c r="A67" s="17">
        <v>0.3</v>
      </c>
      <c r="B67">
        <v>4</v>
      </c>
      <c r="C67" t="s">
        <v>167</v>
      </c>
      <c r="D67">
        <f t="shared" si="6"/>
        <v>4</v>
      </c>
    </row>
    <row r="68" spans="1:4" x14ac:dyDescent="0.25">
      <c r="A68" s="17">
        <v>0.4</v>
      </c>
      <c r="B68">
        <v>5</v>
      </c>
      <c r="C68" t="s">
        <v>168</v>
      </c>
      <c r="D68">
        <f t="shared" si="6"/>
        <v>5</v>
      </c>
    </row>
    <row r="70" spans="1:4" x14ac:dyDescent="0.25">
      <c r="A70" s="17">
        <v>-100000000000</v>
      </c>
      <c r="B70">
        <v>1</v>
      </c>
      <c r="C70" t="s">
        <v>169</v>
      </c>
      <c r="D70">
        <v>0</v>
      </c>
    </row>
    <row r="71" spans="1:4" x14ac:dyDescent="0.25">
      <c r="A71" s="17">
        <v>0.1</v>
      </c>
      <c r="B71">
        <v>2</v>
      </c>
      <c r="C71" t="s">
        <v>170</v>
      </c>
      <c r="D71">
        <f t="shared" ref="D71:D74" si="7">+B71</f>
        <v>2</v>
      </c>
    </row>
    <row r="72" spans="1:4" x14ac:dyDescent="0.25">
      <c r="A72" s="17">
        <v>0.2</v>
      </c>
      <c r="B72">
        <v>3</v>
      </c>
      <c r="C72" t="s">
        <v>171</v>
      </c>
      <c r="D72">
        <f t="shared" si="7"/>
        <v>3</v>
      </c>
    </row>
    <row r="73" spans="1:4" x14ac:dyDescent="0.25">
      <c r="A73" s="17">
        <v>0.3</v>
      </c>
      <c r="B73">
        <v>4</v>
      </c>
      <c r="C73" t="s">
        <v>172</v>
      </c>
      <c r="D73">
        <f t="shared" si="7"/>
        <v>4</v>
      </c>
    </row>
    <row r="74" spans="1:4" x14ac:dyDescent="0.25">
      <c r="A74" s="17">
        <v>0.4</v>
      </c>
      <c r="B74">
        <v>5</v>
      </c>
      <c r="C74" t="s">
        <v>173</v>
      </c>
      <c r="D74">
        <f t="shared" si="7"/>
        <v>5</v>
      </c>
    </row>
    <row r="77" spans="1:4" x14ac:dyDescent="0.25">
      <c r="A77" s="1" t="s">
        <v>101</v>
      </c>
    </row>
    <row r="78" spans="1:4" x14ac:dyDescent="0.25">
      <c r="A78" s="17">
        <v>-100000000000</v>
      </c>
      <c r="B78">
        <v>1</v>
      </c>
      <c r="C78" t="s">
        <v>174</v>
      </c>
      <c r="D78">
        <v>0</v>
      </c>
    </row>
    <row r="79" spans="1:4" x14ac:dyDescent="0.25">
      <c r="A79" s="18">
        <v>2.5000000000000001E-2</v>
      </c>
      <c r="B79">
        <v>2</v>
      </c>
      <c r="C79" t="s">
        <v>175</v>
      </c>
      <c r="D79">
        <f t="shared" ref="D79:D82" si="8">+B79</f>
        <v>2</v>
      </c>
    </row>
    <row r="80" spans="1:4" x14ac:dyDescent="0.25">
      <c r="A80" s="17">
        <v>0.05</v>
      </c>
      <c r="B80">
        <v>3</v>
      </c>
      <c r="C80" t="s">
        <v>176</v>
      </c>
      <c r="D80">
        <f t="shared" si="8"/>
        <v>3</v>
      </c>
    </row>
    <row r="81" spans="1:4" x14ac:dyDescent="0.25">
      <c r="A81" s="17">
        <v>0.1</v>
      </c>
      <c r="B81">
        <v>4</v>
      </c>
      <c r="C81" t="s">
        <v>177</v>
      </c>
      <c r="D81">
        <f t="shared" si="8"/>
        <v>4</v>
      </c>
    </row>
    <row r="82" spans="1:4" x14ac:dyDescent="0.25">
      <c r="A82" s="17">
        <v>0.2</v>
      </c>
      <c r="B82">
        <v>5</v>
      </c>
      <c r="C82" t="s">
        <v>178</v>
      </c>
      <c r="D82">
        <f t="shared" si="8"/>
        <v>5</v>
      </c>
    </row>
    <row r="84" spans="1:4" x14ac:dyDescent="0.25">
      <c r="A84" s="17">
        <v>-100000000000</v>
      </c>
      <c r="B84">
        <v>1</v>
      </c>
      <c r="C84" t="s">
        <v>179</v>
      </c>
      <c r="D84">
        <v>0</v>
      </c>
    </row>
    <row r="85" spans="1:4" x14ac:dyDescent="0.25">
      <c r="A85" s="18">
        <v>2.5000000000000001E-2</v>
      </c>
      <c r="B85">
        <v>2</v>
      </c>
      <c r="C85" t="s">
        <v>180</v>
      </c>
      <c r="D85">
        <f t="shared" ref="D85:D88" si="9">+B85</f>
        <v>2</v>
      </c>
    </row>
    <row r="86" spans="1:4" x14ac:dyDescent="0.25">
      <c r="A86" s="17">
        <v>0.05</v>
      </c>
      <c r="B86">
        <v>3</v>
      </c>
      <c r="C86" t="s">
        <v>181</v>
      </c>
      <c r="D86">
        <f t="shared" si="9"/>
        <v>3</v>
      </c>
    </row>
    <row r="87" spans="1:4" x14ac:dyDescent="0.25">
      <c r="A87" s="17">
        <v>0.1</v>
      </c>
      <c r="B87">
        <v>4</v>
      </c>
      <c r="C87" t="s">
        <v>182</v>
      </c>
      <c r="D87">
        <f t="shared" si="9"/>
        <v>4</v>
      </c>
    </row>
    <row r="88" spans="1:4" x14ac:dyDescent="0.25">
      <c r="A88" s="17">
        <v>0.2</v>
      </c>
      <c r="B88">
        <v>5</v>
      </c>
      <c r="C88" t="s">
        <v>183</v>
      </c>
      <c r="D88">
        <f t="shared" si="9"/>
        <v>5</v>
      </c>
    </row>
    <row r="91" spans="1:4" x14ac:dyDescent="0.25">
      <c r="A91" s="1" t="s">
        <v>102</v>
      </c>
    </row>
    <row r="92" spans="1:4" x14ac:dyDescent="0.25">
      <c r="A92" s="17">
        <v>-100000000000</v>
      </c>
      <c r="B92">
        <v>5</v>
      </c>
      <c r="C92" t="s">
        <v>184</v>
      </c>
      <c r="D92">
        <f t="shared" ref="D92:D93" si="10">+B92</f>
        <v>5</v>
      </c>
    </row>
    <row r="93" spans="1:4" x14ac:dyDescent="0.25">
      <c r="A93" s="17">
        <v>0.3</v>
      </c>
      <c r="B93">
        <v>3</v>
      </c>
      <c r="C93" t="s">
        <v>185</v>
      </c>
      <c r="D93">
        <f t="shared" si="10"/>
        <v>3</v>
      </c>
    </row>
    <row r="94" spans="1:4" x14ac:dyDescent="0.25">
      <c r="A94" s="17">
        <v>0.39</v>
      </c>
      <c r="B94">
        <v>1</v>
      </c>
      <c r="C94" t="s">
        <v>186</v>
      </c>
      <c r="D94">
        <v>0</v>
      </c>
    </row>
    <row r="96" spans="1:4" x14ac:dyDescent="0.25">
      <c r="A96" s="17">
        <v>-100000000000</v>
      </c>
      <c r="B96">
        <v>5</v>
      </c>
      <c r="C96" t="s">
        <v>187</v>
      </c>
      <c r="D96">
        <f t="shared" ref="D96:D97" si="11">+B96</f>
        <v>5</v>
      </c>
    </row>
    <row r="97" spans="1:4" x14ac:dyDescent="0.25">
      <c r="A97" s="17">
        <v>0.3</v>
      </c>
      <c r="B97">
        <v>3</v>
      </c>
      <c r="C97" t="s">
        <v>188</v>
      </c>
      <c r="D97">
        <f t="shared" si="11"/>
        <v>3</v>
      </c>
    </row>
    <row r="98" spans="1:4" x14ac:dyDescent="0.25">
      <c r="A98" s="17">
        <v>0.39</v>
      </c>
      <c r="B98">
        <v>1</v>
      </c>
      <c r="C98" t="s">
        <v>189</v>
      </c>
      <c r="D98">
        <v>0</v>
      </c>
    </row>
    <row r="101" spans="1:4" x14ac:dyDescent="0.25">
      <c r="A101" s="1" t="s">
        <v>104</v>
      </c>
    </row>
    <row r="102" spans="1:4" x14ac:dyDescent="0.25">
      <c r="A102" s="17">
        <v>-100000000000</v>
      </c>
      <c r="B102">
        <v>5</v>
      </c>
      <c r="C102" t="s">
        <v>190</v>
      </c>
      <c r="D102">
        <f t="shared" ref="D102:D106" si="12">+B102</f>
        <v>5</v>
      </c>
    </row>
    <row r="103" spans="1:4" x14ac:dyDescent="0.25">
      <c r="A103" s="17">
        <v>0.15</v>
      </c>
      <c r="B103">
        <v>5</v>
      </c>
      <c r="C103" t="s">
        <v>190</v>
      </c>
      <c r="D103">
        <f t="shared" si="12"/>
        <v>5</v>
      </c>
    </row>
    <row r="104" spans="1:4" x14ac:dyDescent="0.25">
      <c r="A104" s="17">
        <v>0.2</v>
      </c>
      <c r="B104">
        <v>1</v>
      </c>
      <c r="C104" t="s">
        <v>191</v>
      </c>
      <c r="D104">
        <v>0</v>
      </c>
    </row>
    <row r="105" spans="1:4" x14ac:dyDescent="0.25">
      <c r="A105" s="17">
        <v>0</v>
      </c>
      <c r="B105">
        <v>5</v>
      </c>
      <c r="C105" t="s">
        <v>192</v>
      </c>
      <c r="D105">
        <f t="shared" si="12"/>
        <v>5</v>
      </c>
    </row>
    <row r="106" spans="1:4" x14ac:dyDescent="0.25">
      <c r="A106" s="17">
        <v>0.15</v>
      </c>
      <c r="B106">
        <v>5</v>
      </c>
      <c r="C106" t="s">
        <v>192</v>
      </c>
      <c r="D106">
        <f t="shared" si="12"/>
        <v>5</v>
      </c>
    </row>
    <row r="107" spans="1:4" x14ac:dyDescent="0.25">
      <c r="A107" s="17">
        <v>0.2</v>
      </c>
      <c r="B107">
        <v>1</v>
      </c>
      <c r="C107" t="s">
        <v>193</v>
      </c>
      <c r="D107">
        <v>0</v>
      </c>
    </row>
    <row r="109" spans="1:4" x14ac:dyDescent="0.25">
      <c r="A109" s="1" t="s">
        <v>105</v>
      </c>
    </row>
    <row r="110" spans="1:4" x14ac:dyDescent="0.25">
      <c r="A110" s="17">
        <v>-100000000000</v>
      </c>
      <c r="B110">
        <v>5</v>
      </c>
      <c r="C110" t="s">
        <v>199</v>
      </c>
      <c r="D110">
        <f t="shared" ref="D110:D116" si="13">+B110</f>
        <v>5</v>
      </c>
    </row>
    <row r="111" spans="1:4" x14ac:dyDescent="0.25">
      <c r="A111" s="17">
        <v>0.25</v>
      </c>
      <c r="B111">
        <v>5</v>
      </c>
      <c r="C111" t="s">
        <v>199</v>
      </c>
      <c r="D111">
        <f t="shared" si="13"/>
        <v>5</v>
      </c>
    </row>
    <row r="112" spans="1:4" x14ac:dyDescent="0.25">
      <c r="A112" s="17">
        <v>0.5</v>
      </c>
      <c r="B112">
        <v>3</v>
      </c>
      <c r="C112" t="s">
        <v>195</v>
      </c>
      <c r="D112">
        <f t="shared" si="13"/>
        <v>3</v>
      </c>
    </row>
    <row r="113" spans="1:4" x14ac:dyDescent="0.25">
      <c r="A113" s="17">
        <v>0.55000000000000004</v>
      </c>
      <c r="B113">
        <v>1</v>
      </c>
      <c r="C113" t="s">
        <v>198</v>
      </c>
      <c r="D113">
        <v>0</v>
      </c>
    </row>
    <row r="114" spans="1:4" x14ac:dyDescent="0.25">
      <c r="A114" s="17">
        <v>0</v>
      </c>
      <c r="B114">
        <v>5</v>
      </c>
      <c r="C114" t="s">
        <v>196</v>
      </c>
      <c r="D114">
        <f t="shared" si="13"/>
        <v>5</v>
      </c>
    </row>
    <row r="115" spans="1:4" x14ac:dyDescent="0.25">
      <c r="A115" s="17">
        <v>0.25</v>
      </c>
      <c r="B115">
        <v>5</v>
      </c>
      <c r="C115" t="s">
        <v>196</v>
      </c>
      <c r="D115">
        <f t="shared" si="13"/>
        <v>5</v>
      </c>
    </row>
    <row r="116" spans="1:4" x14ac:dyDescent="0.25">
      <c r="A116" s="17">
        <v>0.5</v>
      </c>
      <c r="B116">
        <v>3</v>
      </c>
      <c r="C116" t="s">
        <v>197</v>
      </c>
      <c r="D116">
        <f t="shared" si="13"/>
        <v>3</v>
      </c>
    </row>
    <row r="117" spans="1:4" x14ac:dyDescent="0.25">
      <c r="A117" s="17">
        <v>0.55000000000000004</v>
      </c>
      <c r="B117">
        <v>1</v>
      </c>
      <c r="C117" t="s">
        <v>200</v>
      </c>
      <c r="D117">
        <v>0</v>
      </c>
    </row>
    <row r="120" spans="1:4" x14ac:dyDescent="0.25">
      <c r="A120" s="1" t="s">
        <v>111</v>
      </c>
    </row>
    <row r="121" spans="1:4" x14ac:dyDescent="0.25">
      <c r="A121" s="17">
        <v>-100000000000</v>
      </c>
      <c r="B121">
        <v>1</v>
      </c>
      <c r="C121" t="s">
        <v>201</v>
      </c>
      <c r="D121">
        <v>0</v>
      </c>
    </row>
    <row r="122" spans="1:4" x14ac:dyDescent="0.25">
      <c r="A122" s="18">
        <v>5.0000000000000001E-3</v>
      </c>
      <c r="B122">
        <v>2</v>
      </c>
      <c r="C122" t="s">
        <v>202</v>
      </c>
      <c r="D122">
        <f t="shared" ref="D122:D125" si="14">+B122</f>
        <v>2</v>
      </c>
    </row>
    <row r="123" spans="1:4" x14ac:dyDescent="0.25">
      <c r="A123" s="22">
        <v>2.5000000000000001E-2</v>
      </c>
      <c r="B123">
        <v>3</v>
      </c>
      <c r="C123" t="s">
        <v>203</v>
      </c>
      <c r="D123">
        <f t="shared" si="14"/>
        <v>3</v>
      </c>
    </row>
    <row r="124" spans="1:4" x14ac:dyDescent="0.25">
      <c r="A124" s="17">
        <v>0.05</v>
      </c>
      <c r="B124">
        <v>4</v>
      </c>
      <c r="C124" t="s">
        <v>204</v>
      </c>
      <c r="D124">
        <f t="shared" si="14"/>
        <v>4</v>
      </c>
    </row>
    <row r="125" spans="1:4" x14ac:dyDescent="0.25">
      <c r="A125" s="17">
        <v>0.1</v>
      </c>
      <c r="B125">
        <v>5</v>
      </c>
      <c r="C125" t="s">
        <v>205</v>
      </c>
      <c r="D125">
        <f t="shared" si="14"/>
        <v>5</v>
      </c>
    </row>
    <row r="127" spans="1:4" x14ac:dyDescent="0.25">
      <c r="A127" s="17">
        <v>-100000000000</v>
      </c>
      <c r="B127">
        <v>1</v>
      </c>
      <c r="C127" t="s">
        <v>206</v>
      </c>
      <c r="D127">
        <v>0</v>
      </c>
    </row>
    <row r="128" spans="1:4" x14ac:dyDescent="0.25">
      <c r="A128" s="18">
        <v>0.05</v>
      </c>
      <c r="B128">
        <v>2</v>
      </c>
      <c r="C128" t="s">
        <v>207</v>
      </c>
      <c r="D128">
        <f t="shared" ref="D128:D131" si="15">+B128</f>
        <v>2</v>
      </c>
    </row>
    <row r="129" spans="1:4" x14ac:dyDescent="0.25">
      <c r="A129" s="22">
        <v>0.15</v>
      </c>
      <c r="B129">
        <v>3</v>
      </c>
      <c r="C129" t="s">
        <v>208</v>
      </c>
      <c r="D129">
        <f t="shared" si="15"/>
        <v>3</v>
      </c>
    </row>
    <row r="130" spans="1:4" x14ac:dyDescent="0.25">
      <c r="A130" s="17">
        <v>0.4</v>
      </c>
      <c r="B130">
        <v>4</v>
      </c>
      <c r="C130" t="s">
        <v>209</v>
      </c>
      <c r="D130">
        <f t="shared" si="15"/>
        <v>4</v>
      </c>
    </row>
    <row r="131" spans="1:4" x14ac:dyDescent="0.25">
      <c r="A131" s="17">
        <v>0.5</v>
      </c>
      <c r="B131">
        <v>5</v>
      </c>
      <c r="C131" t="s">
        <v>210</v>
      </c>
      <c r="D131">
        <f t="shared" si="15"/>
        <v>5</v>
      </c>
    </row>
    <row r="133" spans="1:4" x14ac:dyDescent="0.25">
      <c r="A133" t="s">
        <v>286</v>
      </c>
      <c r="B133">
        <v>5</v>
      </c>
    </row>
    <row r="134" spans="1:4" x14ac:dyDescent="0.25">
      <c r="A134" t="s">
        <v>287</v>
      </c>
      <c r="B134">
        <v>0</v>
      </c>
    </row>
    <row r="137" spans="1:4" x14ac:dyDescent="0.25">
      <c r="A137" s="1" t="s">
        <v>226</v>
      </c>
    </row>
    <row r="138" spans="1:4" x14ac:dyDescent="0.25">
      <c r="A138">
        <v>-1000</v>
      </c>
      <c r="B138">
        <v>0</v>
      </c>
      <c r="C138" t="s">
        <v>211</v>
      </c>
    </row>
    <row r="139" spans="1:4" x14ac:dyDescent="0.25">
      <c r="A139">
        <v>-1.0000000000000001E-15</v>
      </c>
      <c r="B139">
        <v>0</v>
      </c>
      <c r="C139" t="s">
        <v>211</v>
      </c>
    </row>
    <row r="140" spans="1:4" x14ac:dyDescent="0.25">
      <c r="A140">
        <v>1E-8</v>
      </c>
      <c r="B140">
        <v>5</v>
      </c>
      <c r="C140" t="s">
        <v>212</v>
      </c>
    </row>
    <row r="141" spans="1:4" x14ac:dyDescent="0.25">
      <c r="A141" s="23">
        <v>19.99999</v>
      </c>
      <c r="B141">
        <v>5</v>
      </c>
      <c r="C141" t="s">
        <v>213</v>
      </c>
    </row>
    <row r="142" spans="1:4" x14ac:dyDescent="0.25">
      <c r="A142">
        <v>20</v>
      </c>
      <c r="B142">
        <v>4</v>
      </c>
      <c r="C142" t="s">
        <v>214</v>
      </c>
    </row>
    <row r="143" spans="1:4" x14ac:dyDescent="0.25">
      <c r="A143">
        <v>25</v>
      </c>
      <c r="B143">
        <v>3</v>
      </c>
      <c r="C143" t="s">
        <v>215</v>
      </c>
    </row>
    <row r="144" spans="1:4" x14ac:dyDescent="0.25">
      <c r="A144">
        <v>30</v>
      </c>
      <c r="B144">
        <v>2</v>
      </c>
      <c r="C144" t="s">
        <v>216</v>
      </c>
    </row>
    <row r="145" spans="1:3" x14ac:dyDescent="0.25">
      <c r="A145">
        <v>35</v>
      </c>
      <c r="B145">
        <v>0</v>
      </c>
      <c r="C145" t="s">
        <v>217</v>
      </c>
    </row>
    <row r="147" spans="1:3" x14ac:dyDescent="0.25">
      <c r="A147">
        <v>-1000</v>
      </c>
      <c r="B147">
        <v>0</v>
      </c>
      <c r="C147" t="s">
        <v>211</v>
      </c>
    </row>
    <row r="148" spans="1:3" x14ac:dyDescent="0.25">
      <c r="A148">
        <v>1E-8</v>
      </c>
      <c r="B148">
        <v>5</v>
      </c>
      <c r="C148" t="s">
        <v>218</v>
      </c>
    </row>
    <row r="149" spans="1:3" x14ac:dyDescent="0.25">
      <c r="A149" s="23">
        <v>10</v>
      </c>
      <c r="B149">
        <v>5</v>
      </c>
      <c r="C149" t="s">
        <v>219</v>
      </c>
    </row>
    <row r="150" spans="1:3" x14ac:dyDescent="0.25">
      <c r="A150">
        <v>15</v>
      </c>
      <c r="B150">
        <v>4</v>
      </c>
      <c r="C150" t="s">
        <v>220</v>
      </c>
    </row>
    <row r="151" spans="1:3" x14ac:dyDescent="0.25">
      <c r="A151">
        <v>20</v>
      </c>
      <c r="B151">
        <v>3</v>
      </c>
      <c r="C151" t="s">
        <v>221</v>
      </c>
    </row>
    <row r="152" spans="1:3" x14ac:dyDescent="0.25">
      <c r="A152">
        <v>25</v>
      </c>
      <c r="B152">
        <v>2</v>
      </c>
      <c r="C152" t="s">
        <v>222</v>
      </c>
    </row>
    <row r="153" spans="1:3" x14ac:dyDescent="0.25">
      <c r="A153">
        <v>30</v>
      </c>
      <c r="B153">
        <v>0</v>
      </c>
      <c r="C153" t="s">
        <v>223</v>
      </c>
    </row>
    <row r="155" spans="1:3" x14ac:dyDescent="0.25">
      <c r="A155" t="s">
        <v>227</v>
      </c>
      <c r="B155">
        <v>5</v>
      </c>
    </row>
    <row r="156" spans="1:3" x14ac:dyDescent="0.25">
      <c r="A156" t="s">
        <v>228</v>
      </c>
      <c r="B156">
        <v>4</v>
      </c>
    </row>
    <row r="157" spans="1:3" x14ac:dyDescent="0.25">
      <c r="A157" t="s">
        <v>229</v>
      </c>
      <c r="B157">
        <v>3</v>
      </c>
    </row>
    <row r="158" spans="1:3" x14ac:dyDescent="0.25">
      <c r="A158" t="s">
        <v>230</v>
      </c>
      <c r="B158">
        <v>0</v>
      </c>
    </row>
    <row r="160" spans="1:3" x14ac:dyDescent="0.25">
      <c r="A160" t="s">
        <v>224</v>
      </c>
      <c r="B160">
        <v>5</v>
      </c>
    </row>
    <row r="161" spans="1:3" x14ac:dyDescent="0.25">
      <c r="A161" t="s">
        <v>225</v>
      </c>
      <c r="B161">
        <v>0</v>
      </c>
    </row>
    <row r="163" spans="1:3" x14ac:dyDescent="0.25">
      <c r="A163" s="1" t="s">
        <v>113</v>
      </c>
    </row>
    <row r="164" spans="1:3" x14ac:dyDescent="0.25">
      <c r="A164">
        <v>-1000</v>
      </c>
      <c r="B164">
        <v>0</v>
      </c>
      <c r="C164" t="s">
        <v>211</v>
      </c>
    </row>
    <row r="165" spans="1:3" x14ac:dyDescent="0.25">
      <c r="A165">
        <v>-1.0000000000000001E-15</v>
      </c>
      <c r="B165">
        <v>0</v>
      </c>
      <c r="C165" t="s">
        <v>211</v>
      </c>
    </row>
    <row r="166" spans="1:3" x14ac:dyDescent="0.25">
      <c r="A166">
        <v>1E-8</v>
      </c>
      <c r="B166">
        <v>5</v>
      </c>
      <c r="C166" t="s">
        <v>212</v>
      </c>
    </row>
    <row r="167" spans="1:3" x14ac:dyDescent="0.25">
      <c r="A167">
        <v>2</v>
      </c>
      <c r="B167">
        <v>4</v>
      </c>
      <c r="C167" t="s">
        <v>231</v>
      </c>
    </row>
    <row r="168" spans="1:3" x14ac:dyDescent="0.25">
      <c r="A168">
        <v>3.05</v>
      </c>
      <c r="B168">
        <v>3</v>
      </c>
      <c r="C168" t="s">
        <v>232</v>
      </c>
    </row>
    <row r="169" spans="1:3" x14ac:dyDescent="0.25">
      <c r="A169">
        <v>4</v>
      </c>
      <c r="B169">
        <v>2</v>
      </c>
      <c r="C169" t="s">
        <v>233</v>
      </c>
    </row>
    <row r="170" spans="1:3" x14ac:dyDescent="0.25">
      <c r="A170">
        <v>4.0000010000000001</v>
      </c>
      <c r="B170">
        <v>0</v>
      </c>
      <c r="C170" t="s">
        <v>234</v>
      </c>
    </row>
    <row r="172" spans="1:3" x14ac:dyDescent="0.25">
      <c r="A172" s="1" t="s">
        <v>56</v>
      </c>
    </row>
    <row r="173" spans="1:3" x14ac:dyDescent="0.25">
      <c r="A173">
        <v>-1000</v>
      </c>
      <c r="B173">
        <v>0</v>
      </c>
      <c r="C173" t="s">
        <v>235</v>
      </c>
    </row>
    <row r="174" spans="1:3" x14ac:dyDescent="0.25">
      <c r="A174">
        <v>-1.0000000000000001E-15</v>
      </c>
      <c r="B174">
        <v>0</v>
      </c>
      <c r="C174" t="s">
        <v>235</v>
      </c>
    </row>
    <row r="175" spans="1:3" x14ac:dyDescent="0.25">
      <c r="A175">
        <v>0.5</v>
      </c>
      <c r="B175">
        <v>5</v>
      </c>
      <c r="C175" t="s">
        <v>236</v>
      </c>
    </row>
    <row r="176" spans="1:3" x14ac:dyDescent="0.25">
      <c r="A176">
        <v>1</v>
      </c>
      <c r="B176">
        <v>4</v>
      </c>
      <c r="C176" t="s">
        <v>237</v>
      </c>
    </row>
    <row r="177" spans="1:3" x14ac:dyDescent="0.25">
      <c r="A177">
        <v>1.25</v>
      </c>
      <c r="B177">
        <v>3</v>
      </c>
      <c r="C177" t="s">
        <v>238</v>
      </c>
    </row>
    <row r="178" spans="1:3" x14ac:dyDescent="0.25">
      <c r="A178">
        <v>1.3</v>
      </c>
      <c r="B178">
        <v>2</v>
      </c>
      <c r="C178" t="s">
        <v>239</v>
      </c>
    </row>
    <row r="179" spans="1:3" x14ac:dyDescent="0.25">
      <c r="A179">
        <v>1.5</v>
      </c>
      <c r="B179">
        <v>0</v>
      </c>
      <c r="C179" t="s">
        <v>240</v>
      </c>
    </row>
    <row r="181" spans="1:3" x14ac:dyDescent="0.25">
      <c r="A181" s="1" t="s">
        <v>241</v>
      </c>
    </row>
    <row r="182" spans="1:3" x14ac:dyDescent="0.25">
      <c r="A182" t="s">
        <v>242</v>
      </c>
      <c r="B182">
        <v>5</v>
      </c>
    </row>
    <row r="183" spans="1:3" x14ac:dyDescent="0.25">
      <c r="A183" t="s">
        <v>243</v>
      </c>
      <c r="B183">
        <v>4</v>
      </c>
    </row>
    <row r="184" spans="1:3" x14ac:dyDescent="0.25">
      <c r="A184" t="s">
        <v>244</v>
      </c>
      <c r="B184">
        <v>3</v>
      </c>
    </row>
    <row r="185" spans="1:3" x14ac:dyDescent="0.25">
      <c r="A185" t="s">
        <v>245</v>
      </c>
      <c r="B185">
        <v>0</v>
      </c>
    </row>
    <row r="187" spans="1:3" x14ac:dyDescent="0.25">
      <c r="A187" s="1" t="s">
        <v>246</v>
      </c>
    </row>
    <row r="189" spans="1:3" x14ac:dyDescent="0.25">
      <c r="A189" s="17">
        <v>-10</v>
      </c>
      <c r="B189">
        <v>0</v>
      </c>
      <c r="C189" t="s">
        <v>211</v>
      </c>
    </row>
    <row r="190" spans="1:3" x14ac:dyDescent="0.25">
      <c r="A190" s="18">
        <v>-1.0000000000000001E-17</v>
      </c>
      <c r="B190">
        <v>0</v>
      </c>
      <c r="C190" t="s">
        <v>211</v>
      </c>
    </row>
    <row r="191" spans="1:3" x14ac:dyDescent="0.25">
      <c r="A191" s="18">
        <v>1E-4</v>
      </c>
      <c r="B191">
        <v>0</v>
      </c>
      <c r="C191" t="s">
        <v>249</v>
      </c>
    </row>
    <row r="192" spans="1:3" x14ac:dyDescent="0.25">
      <c r="A192" s="25">
        <v>0.09</v>
      </c>
      <c r="B192">
        <v>2</v>
      </c>
      <c r="C192" t="s">
        <v>250</v>
      </c>
    </row>
    <row r="193" spans="1:3" x14ac:dyDescent="0.25">
      <c r="A193" s="17">
        <v>0.1</v>
      </c>
      <c r="B193">
        <v>3</v>
      </c>
      <c r="C193" t="s">
        <v>251</v>
      </c>
    </row>
    <row r="194" spans="1:3" x14ac:dyDescent="0.25">
      <c r="A194" s="17">
        <v>0.125</v>
      </c>
      <c r="B194">
        <v>4</v>
      </c>
      <c r="C194" t="s">
        <v>252</v>
      </c>
    </row>
    <row r="195" spans="1:3" x14ac:dyDescent="0.25">
      <c r="A195" s="18">
        <v>0.2</v>
      </c>
      <c r="B195">
        <v>5</v>
      </c>
      <c r="C195" t="s">
        <v>253</v>
      </c>
    </row>
    <row r="198" spans="1:3" x14ac:dyDescent="0.25">
      <c r="A198" s="17">
        <v>-10</v>
      </c>
      <c r="B198">
        <v>0</v>
      </c>
      <c r="C198" t="s">
        <v>211</v>
      </c>
    </row>
    <row r="199" spans="1:3" x14ac:dyDescent="0.25">
      <c r="A199" s="18">
        <v>-1.0000000000000001E-17</v>
      </c>
      <c r="B199">
        <v>0</v>
      </c>
      <c r="C199" t="s">
        <v>211</v>
      </c>
    </row>
    <row r="200" spans="1:3" x14ac:dyDescent="0.25">
      <c r="A200" s="18">
        <v>0.01</v>
      </c>
      <c r="B200">
        <v>0</v>
      </c>
      <c r="C200" t="s">
        <v>254</v>
      </c>
    </row>
    <row r="201" spans="1:3" x14ac:dyDescent="0.25">
      <c r="A201" s="25">
        <v>0.1</v>
      </c>
      <c r="B201">
        <v>2</v>
      </c>
      <c r="C201" t="s">
        <v>255</v>
      </c>
    </row>
    <row r="202" spans="1:3" x14ac:dyDescent="0.25">
      <c r="A202" s="17">
        <v>0.125</v>
      </c>
      <c r="B202">
        <v>3</v>
      </c>
      <c r="C202" t="s">
        <v>256</v>
      </c>
    </row>
    <row r="203" spans="1:3" x14ac:dyDescent="0.25">
      <c r="A203" s="17">
        <v>0.15</v>
      </c>
      <c r="B203">
        <v>4</v>
      </c>
      <c r="C203" t="s">
        <v>257</v>
      </c>
    </row>
    <row r="204" spans="1:3" x14ac:dyDescent="0.25">
      <c r="A204" s="18">
        <v>0.2</v>
      </c>
      <c r="B204">
        <v>5</v>
      </c>
      <c r="C204" t="s">
        <v>258</v>
      </c>
    </row>
    <row r="206" spans="1:3" x14ac:dyDescent="0.25">
      <c r="A206" t="s">
        <v>247</v>
      </c>
      <c r="B206">
        <v>5</v>
      </c>
    </row>
    <row r="207" spans="1:3" x14ac:dyDescent="0.25">
      <c r="A207" t="s">
        <v>261</v>
      </c>
      <c r="B207">
        <v>5</v>
      </c>
    </row>
    <row r="208" spans="1:3" x14ac:dyDescent="0.25">
      <c r="A208" t="s">
        <v>248</v>
      </c>
      <c r="B208">
        <v>4</v>
      </c>
    </row>
    <row r="209" spans="1:3" x14ac:dyDescent="0.25">
      <c r="A209" t="s">
        <v>260</v>
      </c>
      <c r="B209">
        <v>3</v>
      </c>
    </row>
    <row r="210" spans="1:3" x14ac:dyDescent="0.25">
      <c r="A210" t="s">
        <v>259</v>
      </c>
      <c r="B210">
        <v>0</v>
      </c>
    </row>
    <row r="212" spans="1:3" x14ac:dyDescent="0.25">
      <c r="A212" s="1" t="s">
        <v>70</v>
      </c>
    </row>
    <row r="214" spans="1:3" x14ac:dyDescent="0.25">
      <c r="A214" s="17">
        <v>-10</v>
      </c>
      <c r="B214">
        <v>0</v>
      </c>
      <c r="C214" t="s">
        <v>211</v>
      </c>
    </row>
    <row r="215" spans="1:3" x14ac:dyDescent="0.25">
      <c r="A215" s="18">
        <v>-1.0000000000000001E-17</v>
      </c>
      <c r="B215">
        <v>0</v>
      </c>
      <c r="C215" t="s">
        <v>211</v>
      </c>
    </row>
    <row r="216" spans="1:3" x14ac:dyDescent="0.25">
      <c r="A216" s="18">
        <v>1E-4</v>
      </c>
      <c r="B216">
        <v>0</v>
      </c>
      <c r="C216" t="s">
        <v>249</v>
      </c>
    </row>
    <row r="217" spans="1:3" x14ac:dyDescent="0.25">
      <c r="A217" s="25">
        <v>0.05</v>
      </c>
      <c r="B217">
        <v>2</v>
      </c>
      <c r="C217" t="s">
        <v>250</v>
      </c>
    </row>
    <row r="218" spans="1:3" x14ac:dyDescent="0.25">
      <c r="A218" s="17">
        <v>7.4999999999999997E-2</v>
      </c>
      <c r="B218">
        <v>3</v>
      </c>
      <c r="C218" t="s">
        <v>251</v>
      </c>
    </row>
    <row r="219" spans="1:3" x14ac:dyDescent="0.25">
      <c r="A219" s="17">
        <v>0.1</v>
      </c>
      <c r="B219">
        <v>4</v>
      </c>
      <c r="C219" t="s">
        <v>252</v>
      </c>
    </row>
    <row r="220" spans="1:3" x14ac:dyDescent="0.25">
      <c r="A220" s="18">
        <v>0.15</v>
      </c>
      <c r="B220">
        <v>5</v>
      </c>
      <c r="C220" t="s">
        <v>253</v>
      </c>
    </row>
    <row r="223" spans="1:3" x14ac:dyDescent="0.25">
      <c r="A223" s="17">
        <v>-10</v>
      </c>
      <c r="B223">
        <v>0</v>
      </c>
      <c r="C223" t="s">
        <v>211</v>
      </c>
    </row>
    <row r="224" spans="1:3" x14ac:dyDescent="0.25">
      <c r="A224" s="18">
        <v>-1.0000000000000001E-17</v>
      </c>
      <c r="B224">
        <v>0</v>
      </c>
      <c r="C224" t="s">
        <v>211</v>
      </c>
    </row>
    <row r="225" spans="1:3" x14ac:dyDescent="0.25">
      <c r="A225" s="18">
        <v>5.0000000000000001E-3</v>
      </c>
      <c r="B225">
        <v>0</v>
      </c>
      <c r="C225" t="s">
        <v>254</v>
      </c>
    </row>
    <row r="226" spans="1:3" x14ac:dyDescent="0.25">
      <c r="A226" s="25">
        <v>0.04</v>
      </c>
      <c r="B226">
        <v>2</v>
      </c>
      <c r="C226" t="s">
        <v>255</v>
      </c>
    </row>
    <row r="227" spans="1:3" x14ac:dyDescent="0.25">
      <c r="A227" s="17">
        <v>7.4999999999999997E-2</v>
      </c>
      <c r="B227">
        <v>3</v>
      </c>
      <c r="C227" t="s">
        <v>256</v>
      </c>
    </row>
    <row r="228" spans="1:3" x14ac:dyDescent="0.25">
      <c r="A228" s="17">
        <v>0.09</v>
      </c>
      <c r="B228">
        <v>4</v>
      </c>
      <c r="C228" t="s">
        <v>257</v>
      </c>
    </row>
    <row r="229" spans="1:3" x14ac:dyDescent="0.25">
      <c r="A229" s="18">
        <v>0.125</v>
      </c>
      <c r="B229">
        <v>5</v>
      </c>
      <c r="C229" t="s">
        <v>258</v>
      </c>
    </row>
    <row r="231" spans="1:3" x14ac:dyDescent="0.25">
      <c r="A231" t="s">
        <v>262</v>
      </c>
      <c r="B231">
        <v>5</v>
      </c>
    </row>
    <row r="232" spans="1:3" x14ac:dyDescent="0.25">
      <c r="A232" t="s">
        <v>263</v>
      </c>
      <c r="B232">
        <v>5</v>
      </c>
    </row>
    <row r="233" spans="1:3" x14ac:dyDescent="0.25">
      <c r="A233" t="s">
        <v>264</v>
      </c>
      <c r="B233">
        <v>4</v>
      </c>
    </row>
    <row r="234" spans="1:3" x14ac:dyDescent="0.25">
      <c r="A234" t="s">
        <v>265</v>
      </c>
      <c r="B234">
        <v>3</v>
      </c>
    </row>
    <row r="235" spans="1:3" x14ac:dyDescent="0.25">
      <c r="A235" t="s">
        <v>266</v>
      </c>
      <c r="B235">
        <v>0</v>
      </c>
    </row>
    <row r="237" spans="1:3" x14ac:dyDescent="0.25">
      <c r="A237" s="1" t="s">
        <v>59</v>
      </c>
    </row>
    <row r="238" spans="1:3" x14ac:dyDescent="0.25">
      <c r="A238" s="19"/>
    </row>
    <row r="239" spans="1:3" x14ac:dyDescent="0.25">
      <c r="A239" s="19">
        <v>-1E+20</v>
      </c>
      <c r="B239">
        <v>0</v>
      </c>
      <c r="C239" t="s">
        <v>211</v>
      </c>
    </row>
    <row r="240" spans="1:3" x14ac:dyDescent="0.25">
      <c r="A240" s="19">
        <v>-9.9999999999999997E-29</v>
      </c>
      <c r="B240">
        <v>0</v>
      </c>
      <c r="C240" t="s">
        <v>211</v>
      </c>
    </row>
    <row r="241" spans="1:3" x14ac:dyDescent="0.25">
      <c r="A241" s="19">
        <v>9.9999999999999995E-8</v>
      </c>
      <c r="B241">
        <v>5</v>
      </c>
      <c r="C241" t="s">
        <v>268</v>
      </c>
    </row>
    <row r="242" spans="1:3" x14ac:dyDescent="0.25">
      <c r="A242" s="19">
        <v>1</v>
      </c>
      <c r="B242">
        <v>5</v>
      </c>
      <c r="C242" t="s">
        <v>268</v>
      </c>
    </row>
    <row r="243" spans="1:3" x14ac:dyDescent="0.25">
      <c r="A243" s="19">
        <v>1.01</v>
      </c>
      <c r="B243">
        <v>4</v>
      </c>
      <c r="C243" t="s">
        <v>267</v>
      </c>
    </row>
    <row r="244" spans="1:3" x14ac:dyDescent="0.25">
      <c r="A244" s="19">
        <v>1.2</v>
      </c>
      <c r="B244">
        <v>3</v>
      </c>
      <c r="C244" t="s">
        <v>269</v>
      </c>
    </row>
    <row r="245" spans="1:3" x14ac:dyDescent="0.25">
      <c r="A245" s="19">
        <v>1.5</v>
      </c>
      <c r="B245">
        <v>0</v>
      </c>
      <c r="C245" t="s">
        <v>270</v>
      </c>
    </row>
    <row r="247" spans="1:3" x14ac:dyDescent="0.25">
      <c r="A247" s="1" t="s">
        <v>41</v>
      </c>
    </row>
    <row r="248" spans="1:3" x14ac:dyDescent="0.25">
      <c r="A248" s="19">
        <v>-1E+20</v>
      </c>
      <c r="B248">
        <v>0</v>
      </c>
      <c r="C248" t="s">
        <v>211</v>
      </c>
    </row>
    <row r="249" spans="1:3" x14ac:dyDescent="0.25">
      <c r="A249" s="19">
        <v>-9.9999999999999997E-29</v>
      </c>
      <c r="B249">
        <v>0</v>
      </c>
      <c r="C249" t="s">
        <v>211</v>
      </c>
    </row>
    <row r="250" spans="1:3" x14ac:dyDescent="0.25">
      <c r="A250" s="19">
        <v>1E-8</v>
      </c>
      <c r="B250">
        <v>0</v>
      </c>
      <c r="C250" t="s">
        <v>272</v>
      </c>
    </row>
    <row r="251" spans="1:3" x14ac:dyDescent="0.25">
      <c r="A251" s="19">
        <v>0.95</v>
      </c>
      <c r="B251">
        <v>0</v>
      </c>
      <c r="C251" t="s">
        <v>272</v>
      </c>
    </row>
    <row r="252" spans="1:3" x14ac:dyDescent="0.25">
      <c r="A252" s="19">
        <v>1</v>
      </c>
      <c r="B252">
        <v>5</v>
      </c>
      <c r="C252" t="s">
        <v>271</v>
      </c>
    </row>
    <row r="254" spans="1:3" x14ac:dyDescent="0.25">
      <c r="A254" s="1" t="s">
        <v>273</v>
      </c>
    </row>
    <row r="255" spans="1:3" x14ac:dyDescent="0.25">
      <c r="A255" s="19">
        <v>-1E+20</v>
      </c>
      <c r="B255">
        <v>0</v>
      </c>
      <c r="C255" t="s">
        <v>211</v>
      </c>
    </row>
    <row r="256" spans="1:3" x14ac:dyDescent="0.25">
      <c r="A256" s="19">
        <v>-9.9999999999999997E-29</v>
      </c>
      <c r="B256">
        <v>0</v>
      </c>
      <c r="C256" t="s">
        <v>211</v>
      </c>
    </row>
    <row r="257" spans="1:3" x14ac:dyDescent="0.25">
      <c r="A257" s="19">
        <v>9.9999999999999994E-12</v>
      </c>
      <c r="B257">
        <v>5</v>
      </c>
      <c r="C257" t="s">
        <v>274</v>
      </c>
    </row>
    <row r="258" spans="1:3" x14ac:dyDescent="0.25">
      <c r="A258" s="19">
        <v>0.95</v>
      </c>
      <c r="B258">
        <v>5</v>
      </c>
      <c r="C258" t="s">
        <v>274</v>
      </c>
    </row>
    <row r="259" spans="1:3" x14ac:dyDescent="0.25">
      <c r="A259" s="19">
        <v>1.02</v>
      </c>
      <c r="B259">
        <v>5</v>
      </c>
      <c r="C259" t="s">
        <v>275</v>
      </c>
    </row>
    <row r="261" spans="1:3" x14ac:dyDescent="0.25">
      <c r="A261" s="1" t="s">
        <v>121</v>
      </c>
    </row>
    <row r="262" spans="1:3" x14ac:dyDescent="0.25">
      <c r="A262" s="17">
        <v>-10</v>
      </c>
      <c r="B262">
        <v>0</v>
      </c>
      <c r="C262" t="s">
        <v>277</v>
      </c>
    </row>
    <row r="263" spans="1:3" x14ac:dyDescent="0.25">
      <c r="A263">
        <v>-9.9999999999999998E-13</v>
      </c>
      <c r="B263">
        <v>0</v>
      </c>
      <c r="C263" t="s">
        <v>277</v>
      </c>
    </row>
    <row r="264" spans="1:3" x14ac:dyDescent="0.25">
      <c r="A264" s="18">
        <v>1E-14</v>
      </c>
      <c r="B264">
        <v>0</v>
      </c>
      <c r="C264" t="s">
        <v>277</v>
      </c>
    </row>
    <row r="265" spans="1:3" x14ac:dyDescent="0.25">
      <c r="A265" s="17">
        <v>4.9000000000000002E-2</v>
      </c>
      <c r="B265">
        <v>0</v>
      </c>
      <c r="C265" t="s">
        <v>278</v>
      </c>
    </row>
    <row r="266" spans="1:3" x14ac:dyDescent="0.25">
      <c r="A266" s="17">
        <v>0.05</v>
      </c>
      <c r="B266">
        <v>3</v>
      </c>
      <c r="C266" t="s">
        <v>279</v>
      </c>
    </row>
    <row r="267" spans="1:3" x14ac:dyDescent="0.25">
      <c r="A267" s="17">
        <v>0.1</v>
      </c>
      <c r="B267">
        <v>4</v>
      </c>
      <c r="C267" t="s">
        <v>280</v>
      </c>
    </row>
    <row r="268" spans="1:3" x14ac:dyDescent="0.25">
      <c r="A268" s="17">
        <v>0.2</v>
      </c>
      <c r="B268">
        <v>5</v>
      </c>
      <c r="C268" t="s">
        <v>281</v>
      </c>
    </row>
    <row r="270" spans="1:3" x14ac:dyDescent="0.25">
      <c r="A270" s="1" t="s">
        <v>120</v>
      </c>
    </row>
    <row r="271" spans="1:3" x14ac:dyDescent="0.25">
      <c r="A271" s="1" t="s">
        <v>77</v>
      </c>
    </row>
    <row r="272" spans="1:3" x14ac:dyDescent="0.25">
      <c r="A272" t="s">
        <v>282</v>
      </c>
      <c r="B272">
        <v>5</v>
      </c>
    </row>
    <row r="273" spans="1:2" x14ac:dyDescent="0.25">
      <c r="A273" t="s">
        <v>283</v>
      </c>
      <c r="B273">
        <v>3</v>
      </c>
    </row>
    <row r="274" spans="1:2" x14ac:dyDescent="0.25">
      <c r="A274" t="s">
        <v>284</v>
      </c>
      <c r="B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Goncalves Costa</cp:lastModifiedBy>
  <cp:lastPrinted>2026-02-23T16:44:42Z</cp:lastPrinted>
  <dcterms:created xsi:type="dcterms:W3CDTF">2015-06-05T18:17:20Z</dcterms:created>
  <dcterms:modified xsi:type="dcterms:W3CDTF">2026-02-23T16:44:45Z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b35b9b-34e3-4211-8ec1-253280c6bd5e_Enabled">
    <vt:lpwstr>true</vt:lpwstr>
  </property>
  <property fmtid="{D5CDD505-2E9C-101B-9397-08002B2CF9AE}" pid="3" name="MSIP_Label_8db35b9b-34e3-4211-8ec1-253280c6bd5e_SetDate">
    <vt:lpwstr>2026-02-23T09:25:17Z</vt:lpwstr>
  </property>
  <property fmtid="{D5CDD505-2E9C-101B-9397-08002B2CF9AE}" pid="4" name="MSIP_Label_8db35b9b-34e3-4211-8ec1-253280c6bd5e_Method">
    <vt:lpwstr>Privileged</vt:lpwstr>
  </property>
  <property fmtid="{D5CDD505-2E9C-101B-9397-08002B2CF9AE}" pid="5" name="MSIP_Label_8db35b9b-34e3-4211-8ec1-253280c6bd5e_Name">
    <vt:lpwstr>C1 - Public</vt:lpwstr>
  </property>
  <property fmtid="{D5CDD505-2E9C-101B-9397-08002B2CF9AE}" pid="6" name="MSIP_Label_8db35b9b-34e3-4211-8ec1-253280c6bd5e_SiteId">
    <vt:lpwstr>dca04e92-b0c8-46b4-9d33-f893be36d972</vt:lpwstr>
  </property>
  <property fmtid="{D5CDD505-2E9C-101B-9397-08002B2CF9AE}" pid="7" name="MSIP_Label_8db35b9b-34e3-4211-8ec1-253280c6bd5e_ActionId">
    <vt:lpwstr>6c8b4547-4eca-4bbb-80a7-4a26206ef182</vt:lpwstr>
  </property>
  <property fmtid="{D5CDD505-2E9C-101B-9397-08002B2CF9AE}" pid="8" name="MSIP_Label_8db35b9b-34e3-4211-8ec1-253280c6bd5e_ContentBits">
    <vt:lpwstr>0</vt:lpwstr>
  </property>
  <property fmtid="{D5CDD505-2E9C-101B-9397-08002B2CF9AE}" pid="9" name="MSIP_Label_8db35b9b-34e3-4211-8ec1-253280c6bd5e_Tag">
    <vt:lpwstr>10, 0, 1, 1</vt:lpwstr>
  </property>
</Properties>
</file>